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Github\Recoder\data\"/>
    </mc:Choice>
  </mc:AlternateContent>
  <xr:revisionPtr revIDLastSave="0" documentId="13_ncr:1_{06938B36-80BE-4613-8812-68ED0C2B91B4}" xr6:coauthVersionLast="47" xr6:coauthVersionMax="47" xr10:uidLastSave="{00000000-0000-0000-0000-000000000000}"/>
  <bookViews>
    <workbookView xWindow="-108" yWindow="-108" windowWidth="23256" windowHeight="1245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31" l="1"/>
  <c r="AS5" i="31"/>
  <c r="AG6" i="31"/>
  <c r="AF7" i="31"/>
  <c r="AF8" i="31"/>
  <c r="AG9" i="31"/>
  <c r="AF10" i="31"/>
  <c r="AH11" i="31"/>
  <c r="AH12" i="31"/>
  <c r="AH13" i="31"/>
  <c r="AH14" i="31"/>
  <c r="AL14" i="31"/>
  <c r="AH15" i="31"/>
  <c r="AL15" i="31"/>
  <c r="AH16" i="31"/>
  <c r="AL16" i="31"/>
  <c r="AH17" i="31"/>
  <c r="AK17" i="31"/>
  <c r="AJ18" i="31"/>
  <c r="AK19" i="31"/>
  <c r="AJ20" i="31"/>
  <c r="AJ21" i="31"/>
  <c r="AJ22" i="31"/>
  <c r="AJ23" i="31"/>
  <c r="AJ24" i="31"/>
  <c r="AH25" i="31"/>
  <c r="AL25" i="31"/>
  <c r="AH26" i="31"/>
  <c r="AL26" i="31"/>
  <c r="AH27" i="31"/>
  <c r="AL27" i="31"/>
  <c r="AH28" i="31"/>
  <c r="AL28" i="31"/>
  <c r="AH29" i="31"/>
  <c r="AL29" i="31"/>
  <c r="AH30" i="31"/>
  <c r="AL30" i="31"/>
  <c r="AG31" i="31"/>
  <c r="AI32" i="31"/>
  <c r="AI33" i="31"/>
  <c r="AI34" i="31"/>
  <c r="AI35" i="31"/>
  <c r="AI36" i="31"/>
  <c r="AI37" i="31"/>
  <c r="AH39" i="31"/>
  <c r="AH40" i="31"/>
  <c r="AH41" i="31"/>
  <c r="AH42" i="31"/>
  <c r="AH43" i="31"/>
  <c r="AH44" i="31"/>
  <c r="AG46" i="31"/>
  <c r="AH47" i="31"/>
  <c r="AH48" i="31"/>
  <c r="AH49" i="31"/>
  <c r="AH50" i="31"/>
  <c r="AH51" i="31"/>
  <c r="AG52" i="31"/>
  <c r="AL53" i="31"/>
  <c r="AO53" i="31"/>
  <c r="AL54" i="31"/>
  <c r="AN55" i="31"/>
  <c r="AR56"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<sst xmlns="http://schemas.openxmlformats.org/spreadsheetml/2006/main" count="3227" uniqueCount="1676">
  <si>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</si>
  <si>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</si>
  <si>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</si>
  <si>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</si>
  <si>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</si>
  <si>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</si>
  <si>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</si>
  <si>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</si>
  <si>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</si>
  <si>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</si>
  <si>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</si>
  <si>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</si>
  <si>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</si>
  <si>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</si>
  <si>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</si>
  <si>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</si>
  <si>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</si>
  <si>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</si>
  <si>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</si>
  <si>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</si>
  <si>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</si>
  <si>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</si>
  <si>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</si>
  <si>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</si>
  <si>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</si>
  <si>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</si>
  <si>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</si>
  <si>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</si>
  <si>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</si>
  <si>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</si>
  <si>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</si>
  <si>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</si>
  <si>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</si>
  <si>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</si>
  <si>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</si>
  <si>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</si>
  <si>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</si>
  <si>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</si>
  <si>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</si>
  <si>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</si>
  <si>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</si>
  <si>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</si>
  <si>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</si>
  <si>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</si>
  <si>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</si>
  <si>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</si>
  <si>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</si>
  <si>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</si>
  <si>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</si>
  <si>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</si>
  <si>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</si>
  <si>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</si>
  <si>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</si>
  <si>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</si>
  <si>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</si>
  <si>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</si>
  <si>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</si>
  <si>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</si>
  <si>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</si>
  <si>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</si>
  <si>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</si>
  <si>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</si>
  <si>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</si>
  <si>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</si>
  <si>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</si>
  <si>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</si>
  <si>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</si>
  <si>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</si>
  <si>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</si>
  <si>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</si>
  <si>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</si>
  <si>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</si>
  <si>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</si>
  <si>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</si>
  <si>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</si>
  <si>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</si>
  <si>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</si>
  <si>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</si>
  <si>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</si>
  <si>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</si>
  <si>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</si>
  <si>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</si>
  <si>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</si>
  <si>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</si>
  <si>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</si>
  <si>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</si>
  <si>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</si>
  <si>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</si>
  <si>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</si>
  <si>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</si>
  <si>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</si>
  <si>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</si>
  <si>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</si>
  <si>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</si>
  <si>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</si>
  <si>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</si>
  <si>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</si>
  <si>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</si>
  <si>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</si>
  <si>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</si>
  <si>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</si>
  <si>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</si>
  <si>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</si>
  <si>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</si>
  <si>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</si>
  <si>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</si>
  <si>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</si>
  <si>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</si>
  <si>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</si>
  <si>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</si>
  <si>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</si>
  <si>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</si>
  <si>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</si>
  <si>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</si>
  <si>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</si>
  <si>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</si>
  <si>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</si>
  <si>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</si>
  <si>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</si>
  <si>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</si>
  <si>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</si>
  <si>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</si>
  <si>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</si>
  <si>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</si>
  <si>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</si>
  <si>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</si>
  <si>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</si>
  <si>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</si>
  <si>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</si>
  <si>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</si>
  <si>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</si>
  <si>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</si>
  <si>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</si>
  <si>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</si>
  <si>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</si>
  <si>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</si>
  <si>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</si>
  <si>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</si>
  <si>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</si>
  <si>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</si>
  <si>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</si>
  <si>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</si>
  <si>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</si>
  <si>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</si>
  <si>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</si>
  <si>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</si>
  <si>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</si>
  <si>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</si>
  <si>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</si>
  <si>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</si>
  <si>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</si>
  <si>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</si>
  <si>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</si>
  <si>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</si>
  <si>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</si>
  <si>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</si>
  <si>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</si>
  <si>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</si>
  <si>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</si>
  <si>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</si>
  <si>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</si>
  <si>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</si>
  <si>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</si>
  <si>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</si>
  <si>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</si>
  <si>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</si>
  <si>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</si>
  <si>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</si>
  <si>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</si>
  <si>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</si>
  <si>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</si>
  <si>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</si>
  <si>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</si>
  <si>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</si>
  <si>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</si>
  <si>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</si>
  <si>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</si>
  <si>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</si>
  <si>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</si>
  <si>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</si>
  <si>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</si>
  <si>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</si>
  <si>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</si>
  <si>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</si>
  <si>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</si>
  <si>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</si>
  <si>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</si>
  <si>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</si>
  <si>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</si>
  <si>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</si>
  <si>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</si>
  <si>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</si>
  <si>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</si>
  <si>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</si>
  <si>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</si>
  <si>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</si>
  <si>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</si>
  <si>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</si>
  <si>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</si>
  <si>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</si>
  <si>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</si>
  <si>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</si>
  <si>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</si>
  <si>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</si>
  <si>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</si>
  <si>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</si>
  <si>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</si>
  <si>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</si>
  <si>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</si>
  <si>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</si>
  <si>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</si>
  <si>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</si>
  <si>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</si>
  <si>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</si>
  <si>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</si>
  <si>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</si>
  <si>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</si>
  <si>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</si>
  <si>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</si>
  <si>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</si>
  <si>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</si>
  <si>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</si>
  <si>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</si>
  <si>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</si>
  <si>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</si>
  <si>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</si>
  <si>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</si>
  <si>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</si>
  <si>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</si>
  <si>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</si>
  <si>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</si>
  <si>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</si>
  <si>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</si>
  <si>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</si>
  <si>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</si>
  <si>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</si>
  <si>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</si>
  <si>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</si>
  <si>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</si>
  <si>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</si>
  <si>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</si>
  <si>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</si>
  <si>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</si>
  <si>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</si>
  <si>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</si>
  <si>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</si>
  <si>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</si>
  <si>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</si>
  <si>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</si>
  <si>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</si>
  <si>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</si>
  <si>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</si>
  <si>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</si>
  <si>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</si>
  <si>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</si>
  <si>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</si>
  <si>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</si>
  <si>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</si>
  <si>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</si>
  <si>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</si>
  <si>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</si>
  <si>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</si>
  <si>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</si>
  <si>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</si>
  <si>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</si>
  <si>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</si>
  <si>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</si>
  <si>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</si>
  <si>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</si>
  <si>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</si>
  <si>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</si>
  <si>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</si>
  <si>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</si>
  <si>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</si>
  <si>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</si>
  <si>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</si>
  <si>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</si>
  <si>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</si>
  <si>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</si>
  <si>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</si>
  <si>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</si>
  <si>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</si>
  <si>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</si>
  <si>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</si>
  <si>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</si>
  <si>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</si>
  <si>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</si>
  <si>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</si>
  <si>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</si>
  <si>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</si>
  <si>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</si>
  <si>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</si>
  <si>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</si>
  <si>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</si>
  <si>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</si>
  <si>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</si>
  <si>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</si>
  <si>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</si>
  <si>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</si>
  <si>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</si>
  <si>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</si>
  <si>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</si>
  <si>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</si>
  <si>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</si>
  <si>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</si>
  <si>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</si>
  <si>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</si>
  <si>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</si>
  <si>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</si>
  <si>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</si>
  <si>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</si>
  <si>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</si>
  <si>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</si>
  <si>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</si>
  <si>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</si>
  <si>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</si>
  <si>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</si>
  <si>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</si>
  <si>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</si>
  <si>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</si>
  <si>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</si>
  <si>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</si>
  <si>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</si>
  <si>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</si>
  <si>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</si>
  <si>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</si>
  <si>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</si>
  <si>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</si>
  <si>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</si>
  <si>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</si>
  <si>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</si>
  <si>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</si>
  <si>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</si>
  <si>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</si>
  <si>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</si>
  <si>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</si>
  <si>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</si>
  <si>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</si>
  <si>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</si>
  <si>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</si>
  <si>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</si>
  <si>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</si>
  <si>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</si>
  <si>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</si>
  <si>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</si>
  <si>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</si>
  <si>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</si>
  <si>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</si>
  <si>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</si>
  <si>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</si>
  <si>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</si>
  <si>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</si>
  <si>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</si>
  <si>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</si>
  <si>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</si>
  <si>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</si>
  <si>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</si>
  <si>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</si>
  <si>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</si>
  <si>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</si>
  <si>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</si>
  <si>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</si>
  <si>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</si>
  <si>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</si>
  <si>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</si>
  <si>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</si>
  <si>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</si>
  <si>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</si>
  <si>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</si>
  <si>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</si>
  <si>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</si>
  <si>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</si>
  <si>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</si>
  <si>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</si>
  <si>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</si>
  <si>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</si>
  <si>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</si>
  <si>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</si>
  <si>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</si>
  <si>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</si>
  <si>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</si>
  <si>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</si>
  <si>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</si>
  <si>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</si>
  <si>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</si>
  <si>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</si>
  <si>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</si>
  <si>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</si>
  <si>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</si>
  <si>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</si>
  <si>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</si>
  <si>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</si>
  <si>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</si>
  <si>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</si>
  <si>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</si>
  <si>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</si>
  <si>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</si>
  <si>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</si>
  <si>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</si>
  <si>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</si>
  <si>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</si>
  <si>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</si>
  <si>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</si>
  <si>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</si>
  <si>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</si>
  <si>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</si>
  <si>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</si>
  <si>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</si>
  <si>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</si>
  <si>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</si>
  <si>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</si>
  <si>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</si>
  <si>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</si>
  <si>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</si>
  <si>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</si>
  <si>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</si>
  <si>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</si>
  <si>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</si>
  <si>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</si>
  <si>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</si>
  <si>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</si>
  <si>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</si>
  <si>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</si>
  <si>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</si>
  <si>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</si>
  <si>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</si>
  <si>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</si>
  <si>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</si>
  <si>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</si>
  <si>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</si>
  <si>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</si>
  <si>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</si>
  <si>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</si>
  <si>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</si>
  <si>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</si>
  <si>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</si>
  <si>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</si>
  <si>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</si>
  <si>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</si>
  <si>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</si>
  <si>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</si>
  <si>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</si>
  <si>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</si>
  <si>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</si>
  <si>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</si>
  <si>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</si>
  <si>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</si>
  <si>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</si>
  <si>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</si>
  <si>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</si>
  <si>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</si>
  <si>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</si>
  <si>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</si>
  <si>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</si>
  <si>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</si>
  <si>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</si>
  <si>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</si>
  <si>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</si>
  <si>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</si>
  <si>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</si>
  <si>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</si>
  <si>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</si>
  <si>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</si>
  <si>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</si>
  <si>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</si>
  <si>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</si>
  <si>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</si>
  <si>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</si>
  <si>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</si>
  <si>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</si>
  <si>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</si>
  <si>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</si>
  <si>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</si>
  <si>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</si>
  <si>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</si>
  <si>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</si>
  <si>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</si>
  <si>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</si>
  <si>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</si>
  <si>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</si>
  <si>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</si>
  <si>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</si>
  <si>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</si>
  <si>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</si>
  <si>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</si>
  <si>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</si>
  <si>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</si>
  <si>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</si>
  <si>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</si>
  <si>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</si>
  <si>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</si>
  <si>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</si>
  <si>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</si>
  <si>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</si>
  <si>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</si>
  <si>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</si>
  <si>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</si>
  <si>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</si>
  <si>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</si>
  <si>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</si>
  <si>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</si>
  <si>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</si>
  <si>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</si>
  <si>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</si>
  <si>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</si>
  <si>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</si>
  <si>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</si>
  <si>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</si>
  <si>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</si>
  <si>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</si>
  <si>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</si>
  <si>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</si>
  <si>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</si>
  <si>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</si>
  <si>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</si>
  <si>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</si>
  <si>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</si>
  <si>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</si>
  <si>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</si>
  <si>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</si>
  <si>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</si>
  <si>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</si>
  <si>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</si>
  <si>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</si>
  <si>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</si>
  <si>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</si>
  <si>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</si>
  <si>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</si>
  <si>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</si>
  <si>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</si>
  <si>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</si>
  <si>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</si>
  <si>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</si>
  <si>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</si>
  <si>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</si>
  <si>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</si>
  <si>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</si>
  <si>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</si>
  <si>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</si>
  <si>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</si>
  <si>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</si>
  <si>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</si>
  <si>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</si>
  <si>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</si>
  <si>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</si>
  <si>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</si>
  <si>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</si>
  <si>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</si>
  <si>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</si>
  <si>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</si>
  <si>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</si>
  <si>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</si>
  <si>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</si>
  <si>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</si>
  <si>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</si>
  <si>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</si>
  <si>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</si>
  <si>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</si>
  <si>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</si>
  <si>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</si>
  <si>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</si>
  <si>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</si>
  <si>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</si>
  <si>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</si>
  <si>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</si>
  <si>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</si>
  <si>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</si>
  <si>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</si>
  <si>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</si>
  <si>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</si>
  <si>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</si>
  <si>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</si>
  <si>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</si>
  <si>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</si>
  <si>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</si>
  <si>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</si>
  <si>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</si>
  <si>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</si>
  <si>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</si>
  <si>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</si>
  <si>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</si>
  <si>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</si>
  <si>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</si>
  <si>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</si>
  <si>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</si>
  <si>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</si>
  <si>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</si>
  <si>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</si>
  <si>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</si>
  <si>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</si>
  <si>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</si>
  <si>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</si>
  <si>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</si>
  <si>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</si>
  <si>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</si>
  <si>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</si>
  <si>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</si>
  <si>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</si>
  <si>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</si>
  <si>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</si>
  <si>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</si>
  <si>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</si>
  <si>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</si>
  <si>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</si>
  <si>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</si>
  <si>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</si>
  <si>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</si>
  <si>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</si>
  <si>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</si>
  <si>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</si>
  <si>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</si>
  <si>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</si>
  <si>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</si>
  <si>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</si>
  <si>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</si>
  <si>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</si>
  <si>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</si>
  <si>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</si>
  <si>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</si>
  <si>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</si>
  <si>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</si>
  <si>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</si>
  <si>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</si>
  <si>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</si>
  <si>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</si>
  <si>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</si>
  <si>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</si>
  <si>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</si>
  <si>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</si>
  <si>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</si>
  <si>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</si>
  <si>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</si>
  <si>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</si>
  <si>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</si>
  <si>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</si>
  <si>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</si>
  <si>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</si>
  <si>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</si>
  <si>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</si>
  <si>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</si>
  <si>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</si>
  <si>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</si>
  <si>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</si>
  <si>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</si>
  <si>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</si>
  <si>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</si>
  <si>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</si>
  <si>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</si>
  <si>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</si>
  <si>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</si>
  <si>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</si>
  <si>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</si>
  <si>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</si>
  <si>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</si>
  <si>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</si>
  <si>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</si>
  <si>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</si>
  <si>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</si>
  <si>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</si>
  <si>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</si>
  <si>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</si>
  <si>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</si>
  <si>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</si>
  <si>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</si>
  <si>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</si>
  <si>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</si>
  <si>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</si>
  <si>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</si>
  <si>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</si>
  <si>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</si>
  <si>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</si>
  <si>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</si>
  <si>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</si>
  <si>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</si>
  <si>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</si>
  <si>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</si>
  <si>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</si>
  <si>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</si>
  <si>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</si>
  <si>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</si>
  <si>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</si>
  <si>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</si>
  <si>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</si>
  <si>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</si>
  <si>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</si>
  <si>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</si>
  <si>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</si>
  <si>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</si>
  <si>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</si>
  <si>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</si>
  <si>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</si>
  <si>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</si>
  <si>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</si>
  <si>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</si>
  <si>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</si>
  <si>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</si>
  <si>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</si>
  <si>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</si>
  <si>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</si>
  <si>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</si>
  <si>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</si>
  <si>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</si>
  <si>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</si>
  <si>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</si>
  <si>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</si>
  <si>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</si>
  <si>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</si>
  <si>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</si>
  <si>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</si>
  <si>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</si>
  <si>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</si>
  <si>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</si>
  <si>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</si>
  <si>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</si>
  <si>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</si>
  <si>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</si>
  <si>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</si>
  <si>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</si>
  <si>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</si>
  <si>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</si>
  <si>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</si>
  <si>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</si>
  <si>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</si>
  <si>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</si>
  <si>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</si>
  <si>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</si>
  <si>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</si>
  <si>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</si>
  <si>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</si>
  <si>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</si>
  <si>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</si>
  <si>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</si>
  <si>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</si>
  <si>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</si>
  <si>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</si>
  <si>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</si>
  <si>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</si>
  <si>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</si>
  <si>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</si>
  <si>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</si>
  <si>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</si>
  <si>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</si>
  <si>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</si>
  <si>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</si>
  <si>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</si>
  <si>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</si>
  <si>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</si>
  <si>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</si>
  <si>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</si>
  <si>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</si>
  <si>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</si>
  <si>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</si>
  <si>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</si>
  <si>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</si>
  <si>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</si>
  <si>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</si>
  <si>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</si>
  <si>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</si>
  <si>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</si>
  <si>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</si>
  <si>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</si>
  <si>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</si>
  <si>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</si>
  <si>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</si>
  <si>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</si>
  <si>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</si>
  <si>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</si>
  <si>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</si>
  <si>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</si>
  <si>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</si>
  <si>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</si>
  <si>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</si>
  <si>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</si>
  <si>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</si>
  <si>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</si>
  <si>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</si>
  <si>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</si>
  <si>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</si>
  <si>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</si>
  <si>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</si>
  <si>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</si>
  <si>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</si>
  <si>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</si>
  <si>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</si>
  <si>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</si>
  <si>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</si>
  <si>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</si>
  <si>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</si>
  <si>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</si>
  <si>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</si>
  <si>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</si>
  <si>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</si>
  <si>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</si>
  <si>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</si>
  <si>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</si>
  <si>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</si>
  <si>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</si>
  <si>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</si>
  <si>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</si>
  <si>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</si>
  <si>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</si>
  <si>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</si>
  <si>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</si>
  <si>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</si>
  <si>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</si>
  <si>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</si>
  <si>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</si>
  <si>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</si>
  <si>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</si>
  <si>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</si>
  <si>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</si>
  <si>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</si>
  <si>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</si>
  <si>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</si>
  <si>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</si>
  <si>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</si>
  <si>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</si>
  <si>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</si>
  <si>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</si>
  <si>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</si>
  <si>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</si>
  <si>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</si>
  <si>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</si>
  <si>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</si>
  <si>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</si>
  <si>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</si>
  <si>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</si>
  <si>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</si>
  <si>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</si>
  <si>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</si>
  <si>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</si>
  <si>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</si>
  <si>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</si>
  <si>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</si>
  <si>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</si>
  <si>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</si>
  <si>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</si>
  <si>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</si>
  <si>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</si>
  <si>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</si>
  <si>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</si>
  <si>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</si>
  <si>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</si>
  <si>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</si>
  <si>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</si>
  <si>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</si>
  <si>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</si>
  <si>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</si>
  <si>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</si>
  <si>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</si>
  <si>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</si>
  <si>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</si>
  <si>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</si>
  <si>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</si>
  <si>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</si>
  <si>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</si>
  <si>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</si>
  <si>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</si>
  <si>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</si>
  <si>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</si>
  <si>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</si>
  <si>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</si>
  <si>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</si>
  <si>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</si>
  <si>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</si>
  <si>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</si>
  <si>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</si>
  <si>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</si>
  <si>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</si>
  <si>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</si>
  <si>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</si>
  <si>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</si>
  <si>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</si>
  <si>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</si>
  <si>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</si>
  <si>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</si>
  <si>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</si>
  <si>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</si>
  <si>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</si>
  <si>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</si>
  <si>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</si>
  <si>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</si>
  <si>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</si>
  <si>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</si>
  <si>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</si>
  <si>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</si>
  <si>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</si>
  <si>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</si>
  <si>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</si>
  <si>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</si>
  <si>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</si>
  <si>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</si>
  <si>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</si>
  <si>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</si>
  <si>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</si>
  <si>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</si>
  <si>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</si>
  <si>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</si>
  <si>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</si>
  <si>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</si>
  <si>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</si>
  <si>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</si>
  <si>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</si>
  <si>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</si>
  <si>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</si>
  <si>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</si>
  <si>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</si>
  <si>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</si>
  <si>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</si>
  <si>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</si>
  <si>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</si>
  <si>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</si>
  <si>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</si>
  <si>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</si>
  <si>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</si>
  <si>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</si>
  <si>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</si>
  <si>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</si>
  <si>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</si>
  <si>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</si>
  <si>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</si>
  <si>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</si>
  <si>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</si>
  <si>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</si>
  <si>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</si>
  <si>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</si>
  <si>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</si>
  <si>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</si>
  <si>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</si>
  <si>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</si>
  <si>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</si>
  <si>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</si>
  <si>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</si>
  <si>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</si>
  <si>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</si>
  <si>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</si>
  <si>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</si>
  <si>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</si>
  <si>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</si>
  <si>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</si>
  <si>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</si>
  <si>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</si>
  <si>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</si>
  <si>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</si>
  <si>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</si>
  <si>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</si>
  <si>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</si>
  <si>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</si>
  <si>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</si>
  <si>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</si>
  <si>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</si>
  <si>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</si>
  <si>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</si>
  <si>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</si>
  <si>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</si>
  <si>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</si>
  <si>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</si>
  <si>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</si>
  <si>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</si>
  <si>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</si>
  <si>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</si>
  <si>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</si>
  <si>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</si>
  <si>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</si>
  <si>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</si>
  <si>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</si>
  <si>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</si>
  <si>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</si>
  <si>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</si>
  <si>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</si>
  <si>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</si>
  <si>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</si>
  <si>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</si>
  <si>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</si>
  <si>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</si>
  <si>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</si>
  <si>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</si>
  <si>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</si>
  <si>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</si>
  <si>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</si>
  <si>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</si>
  <si>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</si>
  <si>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</si>
  <si>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</si>
  <si>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</si>
  <si>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</si>
  <si>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</si>
  <si>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</si>
  <si>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</si>
  <si>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</si>
  <si>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</si>
  <si>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</si>
  <si>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</si>
  <si>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</si>
  <si>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</si>
  <si>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</si>
  <si>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</si>
  <si>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</si>
  <si>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</si>
  <si>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</si>
  <si>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</si>
  <si>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</si>
  <si>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</si>
  <si>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</si>
  <si>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</si>
  <si>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</si>
  <si>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</si>
  <si>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</si>
  <si>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</si>
  <si>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</si>
  <si>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</si>
  <si>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</si>
  <si>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</si>
  <si>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</si>
  <si>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</si>
  <si>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</si>
  <si>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</si>
  <si>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</si>
  <si>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</si>
  <si>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</si>
  <si>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</si>
  <si>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</si>
  <si>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</si>
  <si>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</si>
  <si>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</si>
  <si>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</si>
  <si>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</si>
  <si>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</si>
  <si>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</si>
  <si>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</si>
  <si>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</si>
  <si>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</si>
  <si>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</si>
  <si>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</si>
  <si>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</si>
  <si>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</si>
  <si>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</si>
  <si>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</si>
  <si>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</si>
  <si>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</si>
  <si>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</si>
  <si>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</si>
  <si>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</si>
  <si>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</si>
  <si>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</si>
  <si>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</si>
  <si>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</si>
  <si>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</si>
  <si>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</si>
  <si>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</si>
  <si>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</si>
  <si>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</si>
  <si>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</si>
  <si>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</si>
  <si>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</si>
  <si>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</si>
  <si>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</si>
  <si>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</si>
  <si>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</si>
  <si>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</si>
  <si>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</si>
  <si>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</si>
  <si>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</si>
  <si>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</si>
  <si>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</si>
  <si>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</si>
  <si>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</si>
  <si>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</si>
  <si>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</si>
  <si>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</si>
  <si>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</si>
  <si>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</si>
  <si>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</si>
  <si>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</si>
  <si>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</si>
  <si>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</si>
  <si>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</si>
  <si>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</si>
  <si>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</si>
  <si>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</si>
  <si>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</si>
  <si>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</si>
  <si>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</si>
  <si>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</si>
  <si>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</si>
  <si>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</si>
  <si>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</si>
  <si>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</si>
  <si>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</si>
  <si>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</si>
  <si>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</si>
  <si>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</si>
  <si>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</si>
  <si>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</si>
  <si>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</si>
  <si>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</si>
  <si>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</si>
  <si>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</si>
  <si>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</si>
  <si>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</si>
  <si>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</si>
  <si>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</si>
  <si>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</si>
  <si>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</si>
  <si>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</si>
  <si>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</si>
  <si>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</si>
  <si>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</si>
  <si>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</si>
  <si>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</si>
  <si>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</si>
  <si>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</si>
  <si>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</si>
  <si>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</si>
  <si>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</si>
  <si>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</si>
  <si>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</si>
  <si>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</si>
  <si>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</si>
  <si>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</si>
  <si>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</si>
  <si>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</si>
  <si>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</si>
  <si>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</si>
  <si>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</si>
  <si>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</si>
  <si>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</si>
  <si>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</si>
  <si>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</si>
  <si>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</si>
  <si>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</si>
  <si>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</si>
  <si>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</si>
  <si>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</si>
  <si>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</si>
  <si>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</si>
  <si>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</si>
  <si>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</si>
  <si>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</si>
  <si>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</si>
  <si>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</si>
  <si>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</si>
  <si>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</si>
  <si>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</si>
  <si>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</si>
  <si>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</si>
  <si>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</si>
  <si>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</si>
  <si>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</si>
  <si>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</si>
  <si>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</si>
  <si>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</si>
  <si>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</si>
  <si>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</si>
  <si>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</si>
  <si>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</si>
  <si>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</si>
  <si>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</si>
  <si>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</si>
  <si>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</si>
  <si>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</si>
  <si>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</si>
  <si>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</si>
  <si>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</si>
  <si>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</si>
  <si>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</si>
  <si>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</si>
  <si>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</si>
  <si>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</si>
  <si>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</si>
  <si>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</si>
  <si>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</si>
  <si>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</si>
  <si>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</si>
  <si>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</si>
  <si>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</si>
  <si>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</si>
  <si>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</si>
  <si>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</si>
  <si>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</si>
  <si>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</si>
  <si>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</si>
  <si>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</si>
  <si>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</si>
  <si>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</si>
  <si>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</si>
  <si>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</si>
  <si>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</si>
  <si>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</si>
  <si>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</si>
  <si>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</si>
  <si>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</si>
  <si>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</si>
  <si>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</si>
  <si>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</si>
  <si>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</si>
  <si>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</si>
  <si>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</si>
  <si>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</si>
  <si>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</si>
  <si>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</si>
  <si>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</si>
  <si>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</si>
  <si>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</si>
  <si>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</si>
  <si>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</si>
  <si>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</si>
  <si>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</si>
  <si>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</si>
  <si>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</si>
  <si>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</si>
  <si>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</si>
  <si>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</si>
  <si>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</si>
  <si>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</si>
  <si>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</si>
  <si>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</si>
  <si>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</si>
  <si>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</si>
  <si>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</si>
  <si>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</si>
  <si>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</si>
  <si>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</si>
  <si>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</si>
  <si>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</si>
  <si>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</si>
  <si>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</si>
  <si>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</si>
  <si>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</si>
  <si>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</si>
  <si>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</si>
  <si>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</si>
  <si>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</si>
  <si>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</si>
  <si>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</si>
  <si>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</si>
  <si>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</si>
  <si>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</si>
  <si>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</si>
  <si>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</si>
  <si>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</si>
  <si>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</si>
  <si>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</si>
  <si>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</si>
  <si>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</si>
  <si>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</si>
  <si>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</si>
  <si>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</si>
  <si>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</si>
  <si>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</si>
  <si>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</si>
  <si>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</si>
  <si>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</si>
  <si>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</si>
  <si>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</si>
  <si>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</si>
  <si>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</si>
  <si>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</si>
  <si>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</si>
  <si>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</si>
  <si>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</si>
  <si>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</si>
  <si>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</si>
  <si>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</si>
  <si>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</si>
  <si>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</si>
  <si>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</si>
  <si>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</si>
  <si>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</si>
  <si>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</si>
  <si>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</si>
  <si>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</si>
  <si>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</si>
  <si>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</si>
  <si>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</si>
  <si>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</si>
  <si>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</si>
  <si>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</si>
  <si>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</si>
  <si>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</si>
  <si>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</si>
  <si>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</si>
  <si>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</si>
  <si>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</si>
  <si>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</si>
  <si>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</si>
  <si>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</si>
  <si>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</si>
  <si>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</si>
  <si>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</si>
  <si>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</si>
  <si>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</si>
  <si>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</si>
  <si>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</si>
  <si>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</si>
  <si>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</si>
  <si>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</si>
  <si>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</si>
  <si>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</si>
  <si>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</si>
  <si>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</si>
  <si>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</si>
  <si>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</si>
  <si>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</si>
  <si>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</si>
  <si>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</si>
  <si>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</si>
  <si>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</si>
  <si>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</si>
  <si>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</si>
  <si>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</si>
  <si>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</si>
  <si>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</si>
  <si>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</si>
  <si>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</si>
  <si>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</si>
  <si>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</si>
  <si>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</si>
  <si>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</si>
  <si>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</si>
  <si>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</si>
  <si>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</si>
  <si>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</si>
  <si>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</si>
  <si>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</si>
  <si>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</si>
  <si>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</si>
  <si>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</si>
  <si>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</si>
  <si>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</si>
  <si>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</si>
  <si>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</si>
  <si>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</si>
  <si>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</si>
  <si>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</si>
  <si>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</si>
  <si>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</si>
  <si>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</si>
  <si>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</si>
  <si>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</si>
  <si>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</si>
  <si>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</si>
  <si>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</si>
  <si>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</si>
  <si>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</si>
  <si>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</si>
  <si>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</si>
  <si>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</si>
  <si>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</si>
  <si>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</si>
  <si>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</si>
  <si>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</si>
  <si>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</si>
  <si>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</si>
  <si>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</si>
  <si>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</si>
  <si>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</si>
  <si>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</si>
  <si>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</si>
  <si>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</si>
  <si>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</si>
  <si>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</si>
  <si>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</si>
  <si>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</si>
  <si>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</si>
  <si>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</si>
  <si>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</si>
  <si>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</si>
  <si>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</si>
  <si>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</si>
  <si>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</si>
  <si>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</si>
  <si>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</si>
  <si>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</si>
  <si>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</si>
  <si>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</si>
  <si>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</si>
  <si>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</si>
  <si>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</si>
  <si>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</si>
  <si>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</si>
  <si>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</si>
  <si>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</si>
  <si>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</si>
  <si>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</si>
  <si>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</si>
  <si>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</si>
  <si>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</si>
  <si>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</si>
  <si>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</si>
  <si>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</si>
  <si>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</si>
  <si>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</si>
  <si>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</si>
  <si>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</si>
  <si>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</si>
  <si>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</si>
  <si>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</si>
  <si>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</si>
  <si>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</si>
  <si>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</si>
  <si>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</si>
  <si>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</si>
  <si>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</si>
  <si>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</si>
  <si>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</si>
  <si>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</si>
  <si>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</si>
  <si>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</si>
  <si>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</si>
  <si>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</si>
  <si>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</si>
  <si>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</si>
  <si>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</si>
  <si>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</si>
  <si>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</si>
  <si>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</si>
  <si>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</si>
  <si>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</si>
  <si>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</si>
  <si>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</si>
  <si>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</si>
  <si>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</si>
  <si>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</si>
  <si>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</si>
  <si>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</si>
  <si>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</si>
  <si>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</si>
  <si>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</si>
  <si>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</si>
  <si>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</si>
  <si>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</si>
  <si>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</si>
  <si>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</si>
  <si>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</si>
  <si>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</si>
  <si>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</si>
  <si>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</si>
  <si>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</si>
  <si>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</si>
  <si>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</si>
  <si>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</si>
  <si>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</si>
  <si>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</si>
  <si>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</si>
  <si>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</si>
  <si>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</si>
  <si>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</si>
  <si>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</si>
  <si>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</si>
  <si>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</si>
  <si>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</si>
  <si>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</si>
  <si>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</si>
  <si>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</si>
  <si>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</si>
  <si>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</si>
  <si>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</si>
  <si>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</si>
  <si>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</si>
  <si>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</si>
  <si>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</si>
  <si>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</si>
  <si>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</si>
  <si>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</si>
  <si>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</si>
  <si>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</si>
  <si>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</si>
  <si>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</si>
  <si>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</si>
  <si>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</si>
  <si>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</si>
  <si>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</si>
  <si>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</si>
  <si>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</si>
  <si>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</si>
  <si>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</si>
  <si>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</si>
  <si>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</si>
  <si>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</si>
  <si>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</si>
  <si>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</si>
  <si>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</si>
  <si>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</si>
  <si>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</si>
  <si>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</si>
  <si>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</si>
  <si>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</si>
  <si>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</si>
  <si>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</si>
  <si>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</si>
  <si>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</si>
  <si>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W13</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</si>
  <si>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</si>
  <si>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</si>
  <si>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</si>
  <si>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</si>
  <si>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</si>
  <si>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</si>
  <si>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</si>
  <si>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</si>
  <si>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</si>
  <si>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</si>
  <si>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</si>
  <si>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</si>
  <si>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</si>
  <si>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</si>
  <si>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</si>
  <si>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</si>
  <si>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</si>
  <si>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</si>
  <si>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</si>
  <si>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</si>
  <si>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</si>
  <si>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</si>
  <si>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</si>
  <si>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</si>
  <si>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</si>
  <si>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</si>
  <si>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</si>
  <si>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</si>
  <si>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</si>
  <si>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</si>
  <si>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</si>
  <si>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</si>
  <si>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</si>
  <si>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</si>
  <si>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</si>
  <si>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</si>
  <si>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</si>
  <si>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</si>
  <si>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</si>
  <si>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</si>
  <si>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</si>
  <si>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</si>
  <si>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</si>
  <si>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</si>
  <si>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</si>
  <si>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</si>
  <si>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</si>
  <si>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</si>
  <si>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</si>
  <si>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</si>
  <si>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</si>
  <si>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</si>
  <si>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</si>
  <si>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</si>
  <si>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</si>
  <si>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</si>
  <si>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</si>
  <si>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</si>
  <si>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</si>
  <si>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</si>
  <si>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</si>
  <si>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</si>
  <si>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</si>
  <si>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</si>
  <si>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</si>
  <si>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</si>
  <si>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</si>
  <si>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</si>
  <si>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</si>
  <si>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</si>
  <si>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</si>
  <si>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</si>
  <si>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</si>
  <si>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</si>
  <si>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</si>
  <si>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</si>
  <si>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W9</t>
  </si>
  <si>
    <t>1;6</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</si>
  <si>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</si>
  <si>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</si>
  <si>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</si>
  <si>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</si>
  <si>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</si>
  <si>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</si>
  <si>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</si>
  <si>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</si>
  <si>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</si>
  <si>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</si>
  <si>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</si>
  <si>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</si>
  <si>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</si>
  <si>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</si>
  <si>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</si>
  <si>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</si>
  <si>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</si>
  <si>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시스템 개발</t>
  </si>
  <si>
    <t>분석</t>
  </si>
  <si>
    <t>업무 분석</t>
  </si>
  <si>
    <t>요구사항 정의</t>
  </si>
  <si>
    <t>요구사항 확정</t>
  </si>
  <si>
    <t>설계</t>
  </si>
  <si>
    <t>DB 설계</t>
  </si>
  <si>
    <t>프로그램 설계</t>
  </si>
  <si>
    <t>개발</t>
  </si>
  <si>
    <t>프로그램 코딩</t>
  </si>
  <si>
    <t>테스트</t>
  </si>
  <si>
    <t>시스템 오픈</t>
  </si>
  <si>
    <t>안드로이드</t>
  </si>
  <si>
    <t>전체</t>
  </si>
  <si>
    <t>김명준</t>
  </si>
  <si>
    <t>조서윤</t>
  </si>
  <si>
    <t>로컬 데이터베이스 개발</t>
  </si>
  <si>
    <t>View 개발</t>
  </si>
  <si>
    <t>Activity 개발</t>
  </si>
  <si>
    <t>로컬 Activity 개발</t>
  </si>
  <si>
    <t>공유 Activity 개발</t>
  </si>
  <si>
    <t>로컬 View 개발</t>
  </si>
  <si>
    <t>공유 View 개발</t>
  </si>
  <si>
    <t>서버 연결(Retrofit)</t>
  </si>
  <si>
    <t>이동현</t>
  </si>
  <si>
    <t>김남규</t>
  </si>
  <si>
    <t>이동현, 조서윤</t>
  </si>
  <si>
    <t>김남규. 조서윤</t>
  </si>
  <si>
    <t>스프링</t>
  </si>
  <si>
    <t>Controller</t>
  </si>
  <si>
    <t>회원 기능</t>
  </si>
  <si>
    <t>그룹 기능</t>
  </si>
  <si>
    <t>앨범 기능</t>
  </si>
  <si>
    <t>사진 기능</t>
  </si>
  <si>
    <t>친구 기능</t>
  </si>
  <si>
    <t>Service</t>
  </si>
  <si>
    <t>Repository</t>
  </si>
  <si>
    <t>클라우드 테스트</t>
  </si>
  <si>
    <t>로컬 테스트</t>
  </si>
  <si>
    <t>전경섭</t>
  </si>
  <si>
    <t>08/18
W34</t>
  </si>
  <si>
    <t>09/15
W38</t>
  </si>
  <si>
    <t>10/13
W42</t>
  </si>
  <si>
    <t>11/10
W46</t>
  </si>
  <si>
    <t>1.1.3</t>
  </si>
  <si>
    <t>1.3.1.1</t>
  </si>
  <si>
    <t>1.3.1.1.1</t>
  </si>
  <si>
    <t>1.3.1.1.2</t>
  </si>
  <si>
    <t>1.3.1.1.3</t>
  </si>
  <si>
    <t>1.3.1.1.3.1</t>
  </si>
  <si>
    <t>1.3.1.1.3.2</t>
  </si>
  <si>
    <t>1.3.1.1.4</t>
  </si>
  <si>
    <t>1.3.1.1.4.1</t>
  </si>
  <si>
    <t>1.3.1.1.4.2</t>
  </si>
  <si>
    <t>1.3.1.2</t>
  </si>
  <si>
    <t>1.3.1.2.1</t>
  </si>
  <si>
    <t>1.3.1.2.1.1</t>
  </si>
  <si>
    <t>1.3.1.2.1.2</t>
  </si>
  <si>
    <t>1.3.1.2.1.3</t>
  </si>
  <si>
    <t>1.3.1.2.1.4</t>
  </si>
  <si>
    <t>1.3.1.2.1.5</t>
  </si>
  <si>
    <t>1.3.1.2.2</t>
  </si>
  <si>
    <t>1.3.1.2.2.1</t>
  </si>
  <si>
    <t>1.3.1.2.2.2</t>
  </si>
  <si>
    <t>1.3.1.2.2.3</t>
  </si>
  <si>
    <t>1.3.1.2.2.4</t>
  </si>
  <si>
    <t>1.3.1.2.2.5</t>
  </si>
  <si>
    <t>1.3.1.2.3</t>
  </si>
  <si>
    <t>1.3.1.2.3.1</t>
  </si>
  <si>
    <t>1.3.1.2.3.2</t>
  </si>
  <si>
    <t>1.3.1.2.3.3</t>
  </si>
  <si>
    <t>1.3.1.2.3.4</t>
  </si>
  <si>
    <t>1.3.1.2.3.5</t>
  </si>
  <si>
    <t>1.4</t>
  </si>
  <si>
    <t>1.4.1</t>
  </si>
  <si>
    <t>1.4.2</t>
  </si>
  <si>
    <t>1.5</t>
  </si>
  <si>
    <t>Recoder 프로젝트</t>
    <phoneticPr fontId="1" type="noConversion"/>
  </si>
  <si>
    <t>좋아요 기능</t>
  </si>
  <si>
    <t>1.3.1.1.2.1</t>
  </si>
  <si>
    <t>1.3.1.1.2.2</t>
  </si>
  <si>
    <t>1.3.1.1.2.3</t>
  </si>
  <si>
    <t>1.3.1.1.2.4</t>
  </si>
  <si>
    <t>1.3.1.1.2.5</t>
  </si>
  <si>
    <t>1.3.1.1.2.6</t>
  </si>
  <si>
    <t>1.3.1.2.1.6</t>
  </si>
  <si>
    <t>1.3.1.2.2.6</t>
  </si>
  <si>
    <t>1.3.1.2.3.6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</si>
</sst>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6">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1"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10" fontId="18" fillId="0" borderId="23" xfId="2" applyNumberFormat="1" applyFont="1" applyFill="1" applyBorder="1" applyAlignment="1" applyProtection="1">
      <alignment horizontal="right" vertical="top"/>
      <protection locked="0"/>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cellXfs>
  <cellStyles count="3">
    <cellStyle name="백분율" xfId="2" builtinId="5"/>
    <cellStyle name="표준" xfId="0" builtinId="0"/>
    <cellStyle name="하이퍼링크" xfId="1" builtinId="8"/>
  </cellStyles>
  <dxfs count="10">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65061" name="직선 화살표 연결선 65060">
          <a:extLst>
            <a:ext uri="{FF2B5EF4-FFF2-40B4-BE49-F238E27FC236}">
              <a16:creationId xmlns:a16="http://schemas.microsoft.com/office/drawing/2014/main" id="{DE3074CD-57E3-B27E-1C18-0F0B85960D01}"/>
            </a:ext>
          </a:extLst>
        </xdr:cNvPr>
        <xdr:cNvCxnSpPr/>
      </xdr:nvCxnSpPr>
      <xdr:spPr>
        <a:xfrm>
          <a:off x="22364700" y="81521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xdr:row>
      <xdr:rowOff>76073</xdr:rowOff>
    </xdr:from>
    <xdr:to>
      <xdr:col>33</xdr:col>
      <xdr:colOff>41366</xdr:colOff>
      <xdr:row>56</xdr:row>
      <xdr:rowOff>0</xdr:rowOff>
    </xdr:to>
    <xdr:cxnSp macro="">
      <xdr:nvCxnSpPr>
        <xdr:cNvPr id="65062" name="직선 화살표 연결선 65061">
          <a:extLst>
            <a:ext uri="{FF2B5EF4-FFF2-40B4-BE49-F238E27FC236}">
              <a16:creationId xmlns:a16="http://schemas.microsoft.com/office/drawing/2014/main" id="{30BEC50E-D315-75F6-9B0B-544096B860F0}"/>
            </a:ext>
          </a:extLst>
        </xdr:cNvPr>
        <xdr:cNvCxnSpPr/>
      </xdr:nvCxnSpPr>
      <xdr:spPr>
        <a:xfrm>
          <a:off x="10503626" y="81521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103414</xdr:colOff>
      <xdr:row>55</xdr:row>
      <xdr:rowOff>19050</xdr:rowOff>
    </xdr:from>
    <xdr:to>
      <xdr:col>44</xdr:col>
      <xdr:colOff>85634</xdr:colOff>
      <xdr:row>55</xdr:row>
      <xdr:rowOff>146050</xdr:rowOff>
    </xdr:to>
    <xdr:sp macro="" textlink="">
      <xdr:nvSpPr>
        <xdr:cNvPr id="65063" name="52">
          <a:extLst>
            <a:ext uri="{FF2B5EF4-FFF2-40B4-BE49-F238E27FC236}">
              <a16:creationId xmlns:a16="http://schemas.microsoft.com/office/drawing/2014/main" id="{4A9350E5-4F70-995A-96E2-A1DD17EFE12E}"/>
            </a:ext>
          </a:extLst>
        </xdr:cNvPr>
        <xdr:cNvSpPr/>
      </xdr:nvSpPr>
      <xdr:spPr>
        <a:xfrm>
          <a:off x="12013474" y="86067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19050</xdr:rowOff>
    </xdr:from>
    <xdr:to>
      <xdr:col>40</xdr:col>
      <xdr:colOff>42635</xdr:colOff>
      <xdr:row>54</xdr:row>
      <xdr:rowOff>133350</xdr:rowOff>
    </xdr:to>
    <xdr:sp macro="" textlink="">
      <xdr:nvSpPr>
        <xdr:cNvPr id="65064" name="51">
          <a:extLst>
            <a:ext uri="{FF2B5EF4-FFF2-40B4-BE49-F238E27FC236}">
              <a16:creationId xmlns:a16="http://schemas.microsoft.com/office/drawing/2014/main" id="{7508D791-F7FB-6BC7-B942-EAF258F58CAA}"/>
            </a:ext>
          </a:extLst>
        </xdr:cNvPr>
        <xdr:cNvSpPr/>
      </xdr:nvSpPr>
      <xdr:spPr>
        <a:xfrm>
          <a:off x="11351623" y="8454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54</xdr:row>
      <xdr:rowOff>76200</xdr:rowOff>
    </xdr:from>
    <xdr:to>
      <xdr:col>39</xdr:col>
      <xdr:colOff>20683</xdr:colOff>
      <xdr:row>54</xdr:row>
      <xdr:rowOff>76200</xdr:rowOff>
    </xdr:to>
    <xdr:cxnSp macro="">
      <xdr:nvCxnSpPr>
        <xdr:cNvPr id="65065" name="직선 화살표 연결선 65064">
          <a:extLst>
            <a:ext uri="{FF2B5EF4-FFF2-40B4-BE49-F238E27FC236}">
              <a16:creationId xmlns:a16="http://schemas.microsoft.com/office/drawing/2014/main" id="{B460206E-FB5A-9198-8900-7A9FAD5B4F6F}"/>
            </a:ext>
          </a:extLst>
        </xdr:cNvPr>
        <xdr:cNvCxnSpPr/>
      </xdr:nvCxnSpPr>
      <xdr:spPr>
        <a:xfrm>
          <a:off x="11351623" y="851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53</xdr:row>
      <xdr:rowOff>19050</xdr:rowOff>
    </xdr:from>
    <xdr:to>
      <xdr:col>38</xdr:col>
      <xdr:colOff>63318</xdr:colOff>
      <xdr:row>53</xdr:row>
      <xdr:rowOff>133350</xdr:rowOff>
    </xdr:to>
    <xdr:sp macro="" textlink="">
      <xdr:nvSpPr>
        <xdr:cNvPr id="65066" name="50">
          <a:extLst>
            <a:ext uri="{FF2B5EF4-FFF2-40B4-BE49-F238E27FC236}">
              <a16:creationId xmlns:a16="http://schemas.microsoft.com/office/drawing/2014/main" id="{A1F6E590-0972-FD4D-1C61-7AC257693E47}"/>
            </a:ext>
          </a:extLst>
        </xdr:cNvPr>
        <xdr:cNvSpPr/>
      </xdr:nvSpPr>
      <xdr:spPr>
        <a:xfrm>
          <a:off x="11082746" y="8301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53</xdr:row>
      <xdr:rowOff>76200</xdr:rowOff>
    </xdr:from>
    <xdr:to>
      <xdr:col>37</xdr:col>
      <xdr:colOff>41366</xdr:colOff>
      <xdr:row>53</xdr:row>
      <xdr:rowOff>76200</xdr:rowOff>
    </xdr:to>
    <xdr:cxnSp macro="">
      <xdr:nvCxnSpPr>
        <xdr:cNvPr id="65067" name="직선 화살표 연결선 65066">
          <a:extLst>
            <a:ext uri="{FF2B5EF4-FFF2-40B4-BE49-F238E27FC236}">
              <a16:creationId xmlns:a16="http://schemas.microsoft.com/office/drawing/2014/main" id="{2473EEA8-A3AC-EC8F-C93D-F262F15FFB03}"/>
            </a:ext>
          </a:extLst>
        </xdr:cNvPr>
        <xdr:cNvCxnSpPr/>
      </xdr:nvCxnSpPr>
      <xdr:spPr>
        <a:xfrm>
          <a:off x="11082746"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52</xdr:row>
      <xdr:rowOff>19050</xdr:rowOff>
    </xdr:from>
    <xdr:to>
      <xdr:col>40</xdr:col>
      <xdr:colOff>42635</xdr:colOff>
      <xdr:row>52</xdr:row>
      <xdr:rowOff>133350</xdr:rowOff>
    </xdr:to>
    <xdr:sp macro="" textlink="">
      <xdr:nvSpPr>
        <xdr:cNvPr id="65068" name="49">
          <a:extLst>
            <a:ext uri="{FF2B5EF4-FFF2-40B4-BE49-F238E27FC236}">
              <a16:creationId xmlns:a16="http://schemas.microsoft.com/office/drawing/2014/main" id="{EA4550A4-FE25-6352-DDA6-4699E956589D}"/>
            </a:ext>
          </a:extLst>
        </xdr:cNvPr>
        <xdr:cNvSpPr/>
      </xdr:nvSpPr>
      <xdr:spPr>
        <a:xfrm>
          <a:off x="11082746" y="8149590"/>
          <a:ext cx="43560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52</xdr:row>
      <xdr:rowOff>76200</xdr:rowOff>
    </xdr:from>
    <xdr:to>
      <xdr:col>37</xdr:col>
      <xdr:colOff>41366</xdr:colOff>
      <xdr:row>52</xdr:row>
      <xdr:rowOff>76200</xdr:rowOff>
    </xdr:to>
    <xdr:cxnSp macro="">
      <xdr:nvCxnSpPr>
        <xdr:cNvPr id="65069" name="직선 화살표 연결선 65068">
          <a:extLst>
            <a:ext uri="{FF2B5EF4-FFF2-40B4-BE49-F238E27FC236}">
              <a16:creationId xmlns:a16="http://schemas.microsoft.com/office/drawing/2014/main" id="{C5D7D218-EB4A-66FE-CDEE-3E5F1657D9B9}"/>
            </a:ext>
          </a:extLst>
        </xdr:cNvPr>
        <xdr:cNvCxnSpPr/>
      </xdr:nvCxnSpPr>
      <xdr:spPr>
        <a:xfrm>
          <a:off x="11082746"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51</xdr:row>
      <xdr:rowOff>19050</xdr:rowOff>
    </xdr:from>
    <xdr:to>
      <xdr:col>33</xdr:col>
      <xdr:colOff>21953</xdr:colOff>
      <xdr:row>51</xdr:row>
      <xdr:rowOff>133350</xdr:rowOff>
    </xdr:to>
    <xdr:sp macro="" textlink="">
      <xdr:nvSpPr>
        <xdr:cNvPr id="65070" name="48">
          <a:extLst>
            <a:ext uri="{FF2B5EF4-FFF2-40B4-BE49-F238E27FC236}">
              <a16:creationId xmlns:a16="http://schemas.microsoft.com/office/drawing/2014/main" id="{7E62848E-1E67-500A-7B3A-F6D4DAADE208}"/>
            </a:ext>
          </a:extLst>
        </xdr:cNvPr>
        <xdr:cNvSpPr/>
      </xdr:nvSpPr>
      <xdr:spPr>
        <a:xfrm>
          <a:off x="10441577" y="7997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51</xdr:row>
      <xdr:rowOff>76200</xdr:rowOff>
    </xdr:from>
    <xdr:to>
      <xdr:col>32</xdr:col>
      <xdr:colOff>124097</xdr:colOff>
      <xdr:row>51</xdr:row>
      <xdr:rowOff>76200</xdr:rowOff>
    </xdr:to>
    <xdr:cxnSp macro="">
      <xdr:nvCxnSpPr>
        <xdr:cNvPr id="65071" name="직선 화살표 연결선 65070">
          <a:extLst>
            <a:ext uri="{FF2B5EF4-FFF2-40B4-BE49-F238E27FC236}">
              <a16:creationId xmlns:a16="http://schemas.microsoft.com/office/drawing/2014/main" id="{BD3AF799-3600-77A1-A2A2-AB32C887192B}"/>
            </a:ext>
          </a:extLst>
        </xdr:cNvPr>
        <xdr:cNvCxnSpPr/>
      </xdr:nvCxnSpPr>
      <xdr:spPr>
        <a:xfrm>
          <a:off x="10441577" y="805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50</xdr:row>
      <xdr:rowOff>19050</xdr:rowOff>
    </xdr:from>
    <xdr:to>
      <xdr:col>33</xdr:col>
      <xdr:colOff>21953</xdr:colOff>
      <xdr:row>50</xdr:row>
      <xdr:rowOff>133350</xdr:rowOff>
    </xdr:to>
    <xdr:sp macro="" textlink="">
      <xdr:nvSpPr>
        <xdr:cNvPr id="65072" name="47">
          <a:extLst>
            <a:ext uri="{FF2B5EF4-FFF2-40B4-BE49-F238E27FC236}">
              <a16:creationId xmlns:a16="http://schemas.microsoft.com/office/drawing/2014/main" id="{71228F84-B5E0-B1AC-FB66-BA6F1EBEEE11}"/>
            </a:ext>
          </a:extLst>
        </xdr:cNvPr>
        <xdr:cNvSpPr/>
      </xdr:nvSpPr>
      <xdr:spPr>
        <a:xfrm>
          <a:off x="10441577" y="78447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50</xdr:row>
      <xdr:rowOff>76200</xdr:rowOff>
    </xdr:from>
    <xdr:to>
      <xdr:col>33</xdr:col>
      <xdr:colOff>20683</xdr:colOff>
      <xdr:row>50</xdr:row>
      <xdr:rowOff>76200</xdr:rowOff>
    </xdr:to>
    <xdr:cxnSp macro="">
      <xdr:nvCxnSpPr>
        <xdr:cNvPr id="65073" name="직선 화살표 연결선 65072">
          <a:extLst>
            <a:ext uri="{FF2B5EF4-FFF2-40B4-BE49-F238E27FC236}">
              <a16:creationId xmlns:a16="http://schemas.microsoft.com/office/drawing/2014/main" id="{2485A59F-A265-5C5A-DD63-B229C4271A85}"/>
            </a:ext>
          </a:extLst>
        </xdr:cNvPr>
        <xdr:cNvCxnSpPr/>
      </xdr:nvCxnSpPr>
      <xdr:spPr>
        <a:xfrm>
          <a:off x="10441577" y="79019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49</xdr:row>
      <xdr:rowOff>19050</xdr:rowOff>
    </xdr:from>
    <xdr:to>
      <xdr:col>33</xdr:col>
      <xdr:colOff>21953</xdr:colOff>
      <xdr:row>49</xdr:row>
      <xdr:rowOff>133350</xdr:rowOff>
    </xdr:to>
    <xdr:sp macro="" textlink="">
      <xdr:nvSpPr>
        <xdr:cNvPr id="65074" name="46">
          <a:extLst>
            <a:ext uri="{FF2B5EF4-FFF2-40B4-BE49-F238E27FC236}">
              <a16:creationId xmlns:a16="http://schemas.microsoft.com/office/drawing/2014/main" id="{E738D3E1-3B50-D035-B150-2036407880CB}"/>
            </a:ext>
          </a:extLst>
        </xdr:cNvPr>
        <xdr:cNvSpPr/>
      </xdr:nvSpPr>
      <xdr:spPr>
        <a:xfrm>
          <a:off x="10441577" y="76923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49</xdr:row>
      <xdr:rowOff>76200</xdr:rowOff>
    </xdr:from>
    <xdr:to>
      <xdr:col>33</xdr:col>
      <xdr:colOff>20683</xdr:colOff>
      <xdr:row>49</xdr:row>
      <xdr:rowOff>76200</xdr:rowOff>
    </xdr:to>
    <xdr:cxnSp macro="">
      <xdr:nvCxnSpPr>
        <xdr:cNvPr id="65075" name="직선 화살표 연결선 65074">
          <a:extLst>
            <a:ext uri="{FF2B5EF4-FFF2-40B4-BE49-F238E27FC236}">
              <a16:creationId xmlns:a16="http://schemas.microsoft.com/office/drawing/2014/main" id="{39AFCC4F-D5B6-83C5-0004-067022E2AAB1}"/>
            </a:ext>
          </a:extLst>
        </xdr:cNvPr>
        <xdr:cNvCxnSpPr/>
      </xdr:nvCxnSpPr>
      <xdr:spPr>
        <a:xfrm>
          <a:off x="10441577" y="77495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48</xdr:row>
      <xdr:rowOff>19050</xdr:rowOff>
    </xdr:from>
    <xdr:to>
      <xdr:col>33</xdr:col>
      <xdr:colOff>21953</xdr:colOff>
      <xdr:row>48</xdr:row>
      <xdr:rowOff>133350</xdr:rowOff>
    </xdr:to>
    <xdr:sp macro="" textlink="">
      <xdr:nvSpPr>
        <xdr:cNvPr id="65076" name="45">
          <a:extLst>
            <a:ext uri="{FF2B5EF4-FFF2-40B4-BE49-F238E27FC236}">
              <a16:creationId xmlns:a16="http://schemas.microsoft.com/office/drawing/2014/main" id="{76633045-8349-B187-B80E-221F9C1521CD}"/>
            </a:ext>
          </a:extLst>
        </xdr:cNvPr>
        <xdr:cNvSpPr/>
      </xdr:nvSpPr>
      <xdr:spPr>
        <a:xfrm>
          <a:off x="10441577" y="75399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48</xdr:row>
      <xdr:rowOff>76200</xdr:rowOff>
    </xdr:from>
    <xdr:to>
      <xdr:col>33</xdr:col>
      <xdr:colOff>20683</xdr:colOff>
      <xdr:row>48</xdr:row>
      <xdr:rowOff>76200</xdr:rowOff>
    </xdr:to>
    <xdr:cxnSp macro="">
      <xdr:nvCxnSpPr>
        <xdr:cNvPr id="65077" name="직선 화살표 연결선 65076">
          <a:extLst>
            <a:ext uri="{FF2B5EF4-FFF2-40B4-BE49-F238E27FC236}">
              <a16:creationId xmlns:a16="http://schemas.microsoft.com/office/drawing/2014/main" id="{1150A0E0-FA13-6584-2330-6707F809BED6}"/>
            </a:ext>
          </a:extLst>
        </xdr:cNvPr>
        <xdr:cNvCxnSpPr/>
      </xdr:nvCxnSpPr>
      <xdr:spPr>
        <a:xfrm>
          <a:off x="10441577" y="75971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47</xdr:row>
      <xdr:rowOff>19050</xdr:rowOff>
    </xdr:from>
    <xdr:to>
      <xdr:col>33</xdr:col>
      <xdr:colOff>21953</xdr:colOff>
      <xdr:row>47</xdr:row>
      <xdr:rowOff>133350</xdr:rowOff>
    </xdr:to>
    <xdr:sp macro="" textlink="">
      <xdr:nvSpPr>
        <xdr:cNvPr id="65078" name="44">
          <a:extLst>
            <a:ext uri="{FF2B5EF4-FFF2-40B4-BE49-F238E27FC236}">
              <a16:creationId xmlns:a16="http://schemas.microsoft.com/office/drawing/2014/main" id="{38817594-325B-EDE1-CD4F-34470FB90C8B}"/>
            </a:ext>
          </a:extLst>
        </xdr:cNvPr>
        <xdr:cNvSpPr/>
      </xdr:nvSpPr>
      <xdr:spPr>
        <a:xfrm>
          <a:off x="10441577" y="73875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47</xdr:row>
      <xdr:rowOff>76200</xdr:rowOff>
    </xdr:from>
    <xdr:to>
      <xdr:col>33</xdr:col>
      <xdr:colOff>20683</xdr:colOff>
      <xdr:row>47</xdr:row>
      <xdr:rowOff>76200</xdr:rowOff>
    </xdr:to>
    <xdr:cxnSp macro="">
      <xdr:nvCxnSpPr>
        <xdr:cNvPr id="65079" name="직선 화살표 연결선 65078">
          <a:extLst>
            <a:ext uri="{FF2B5EF4-FFF2-40B4-BE49-F238E27FC236}">
              <a16:creationId xmlns:a16="http://schemas.microsoft.com/office/drawing/2014/main" id="{46F0998A-CA98-6E6B-6DDB-C67D6F4948A1}"/>
            </a:ext>
          </a:extLst>
        </xdr:cNvPr>
        <xdr:cNvCxnSpPr/>
      </xdr:nvCxnSpPr>
      <xdr:spPr>
        <a:xfrm>
          <a:off x="10441577" y="74447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46</xdr:row>
      <xdr:rowOff>19050</xdr:rowOff>
    </xdr:from>
    <xdr:to>
      <xdr:col>33</xdr:col>
      <xdr:colOff>21953</xdr:colOff>
      <xdr:row>46</xdr:row>
      <xdr:rowOff>133350</xdr:rowOff>
    </xdr:to>
    <xdr:sp macro="" textlink="">
      <xdr:nvSpPr>
        <xdr:cNvPr id="65080" name="43">
          <a:extLst>
            <a:ext uri="{FF2B5EF4-FFF2-40B4-BE49-F238E27FC236}">
              <a16:creationId xmlns:a16="http://schemas.microsoft.com/office/drawing/2014/main" id="{2BC5804D-CFCE-C38F-D021-D3FBF8F04B98}"/>
            </a:ext>
          </a:extLst>
        </xdr:cNvPr>
        <xdr:cNvSpPr/>
      </xdr:nvSpPr>
      <xdr:spPr>
        <a:xfrm>
          <a:off x="10441577" y="7235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46</xdr:row>
      <xdr:rowOff>76200</xdr:rowOff>
    </xdr:from>
    <xdr:to>
      <xdr:col>33</xdr:col>
      <xdr:colOff>20683</xdr:colOff>
      <xdr:row>46</xdr:row>
      <xdr:rowOff>76200</xdr:rowOff>
    </xdr:to>
    <xdr:cxnSp macro="">
      <xdr:nvCxnSpPr>
        <xdr:cNvPr id="65081" name="직선 화살표 연결선 65080">
          <a:extLst>
            <a:ext uri="{FF2B5EF4-FFF2-40B4-BE49-F238E27FC236}">
              <a16:creationId xmlns:a16="http://schemas.microsoft.com/office/drawing/2014/main" id="{5C3D409A-522C-5748-A002-619BEE5B279A}"/>
            </a:ext>
          </a:extLst>
        </xdr:cNvPr>
        <xdr:cNvCxnSpPr/>
      </xdr:nvCxnSpPr>
      <xdr:spPr>
        <a:xfrm>
          <a:off x="10441577" y="7292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45</xdr:row>
      <xdr:rowOff>19050</xdr:rowOff>
    </xdr:from>
    <xdr:to>
      <xdr:col>33</xdr:col>
      <xdr:colOff>21953</xdr:colOff>
      <xdr:row>45</xdr:row>
      <xdr:rowOff>133350</xdr:rowOff>
    </xdr:to>
    <xdr:sp macro="" textlink="">
      <xdr:nvSpPr>
        <xdr:cNvPr id="65082" name="42">
          <a:extLst>
            <a:ext uri="{FF2B5EF4-FFF2-40B4-BE49-F238E27FC236}">
              <a16:creationId xmlns:a16="http://schemas.microsoft.com/office/drawing/2014/main" id="{08DDF79B-AE4D-2D1D-65CD-5E4B3CE7106E}"/>
            </a:ext>
          </a:extLst>
        </xdr:cNvPr>
        <xdr:cNvSpPr/>
      </xdr:nvSpPr>
      <xdr:spPr>
        <a:xfrm>
          <a:off x="10441577" y="7082790"/>
          <a:ext cx="4263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45</xdr:row>
      <xdr:rowOff>76200</xdr:rowOff>
    </xdr:from>
    <xdr:to>
      <xdr:col>32</xdr:col>
      <xdr:colOff>124097</xdr:colOff>
      <xdr:row>45</xdr:row>
      <xdr:rowOff>76200</xdr:rowOff>
    </xdr:to>
    <xdr:cxnSp macro="">
      <xdr:nvCxnSpPr>
        <xdr:cNvPr id="65083" name="직선 화살표 연결선 65082">
          <a:extLst>
            <a:ext uri="{FF2B5EF4-FFF2-40B4-BE49-F238E27FC236}">
              <a16:creationId xmlns:a16="http://schemas.microsoft.com/office/drawing/2014/main" id="{5449A7F2-FB44-B576-8281-2AA0F7E418AD}"/>
            </a:ext>
          </a:extLst>
        </xdr:cNvPr>
        <xdr:cNvCxnSpPr/>
      </xdr:nvCxnSpPr>
      <xdr:spPr>
        <a:xfrm>
          <a:off x="10441577"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43</xdr:row>
      <xdr:rowOff>19050</xdr:rowOff>
    </xdr:from>
    <xdr:to>
      <xdr:col>34</xdr:col>
      <xdr:colOff>21952</xdr:colOff>
      <xdr:row>43</xdr:row>
      <xdr:rowOff>133350</xdr:rowOff>
    </xdr:to>
    <xdr:sp macro="" textlink="">
      <xdr:nvSpPr>
        <xdr:cNvPr id="65084" name="40">
          <a:extLst>
            <a:ext uri="{FF2B5EF4-FFF2-40B4-BE49-F238E27FC236}">
              <a16:creationId xmlns:a16="http://schemas.microsoft.com/office/drawing/2014/main" id="{C3B6CE35-0269-41A4-4E7C-B891B6AD8D6E}"/>
            </a:ext>
          </a:extLst>
        </xdr:cNvPr>
        <xdr:cNvSpPr/>
      </xdr:nvSpPr>
      <xdr:spPr>
        <a:xfrm>
          <a:off x="10462260" y="67779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43</xdr:row>
      <xdr:rowOff>76200</xdr:rowOff>
    </xdr:from>
    <xdr:to>
      <xdr:col>33</xdr:col>
      <xdr:colOff>0</xdr:colOff>
      <xdr:row>43</xdr:row>
      <xdr:rowOff>76200</xdr:rowOff>
    </xdr:to>
    <xdr:cxnSp macro="">
      <xdr:nvCxnSpPr>
        <xdr:cNvPr id="65085" name="직선 화살표 연결선 65084">
          <a:extLst>
            <a:ext uri="{FF2B5EF4-FFF2-40B4-BE49-F238E27FC236}">
              <a16:creationId xmlns:a16="http://schemas.microsoft.com/office/drawing/2014/main" id="{BE5E3D79-7DAB-13D1-87B1-BD87E23F9D09}"/>
            </a:ext>
          </a:extLst>
        </xdr:cNvPr>
        <xdr:cNvCxnSpPr/>
      </xdr:nvCxnSpPr>
      <xdr:spPr>
        <a:xfrm>
          <a:off x="1046226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42</xdr:row>
      <xdr:rowOff>19050</xdr:rowOff>
    </xdr:from>
    <xdr:to>
      <xdr:col>34</xdr:col>
      <xdr:colOff>21952</xdr:colOff>
      <xdr:row>42</xdr:row>
      <xdr:rowOff>133350</xdr:rowOff>
    </xdr:to>
    <xdr:sp macro="" textlink="">
      <xdr:nvSpPr>
        <xdr:cNvPr id="65086" name="39">
          <a:extLst>
            <a:ext uri="{FF2B5EF4-FFF2-40B4-BE49-F238E27FC236}">
              <a16:creationId xmlns:a16="http://schemas.microsoft.com/office/drawing/2014/main" id="{FDB79B29-96D0-AD64-27F1-86C5390B94EC}"/>
            </a:ext>
          </a:extLst>
        </xdr:cNvPr>
        <xdr:cNvSpPr/>
      </xdr:nvSpPr>
      <xdr:spPr>
        <a:xfrm>
          <a:off x="10462260" y="66255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42</xdr:row>
      <xdr:rowOff>76200</xdr:rowOff>
    </xdr:from>
    <xdr:to>
      <xdr:col>33</xdr:col>
      <xdr:colOff>0</xdr:colOff>
      <xdr:row>42</xdr:row>
      <xdr:rowOff>76200</xdr:rowOff>
    </xdr:to>
    <xdr:cxnSp macro="">
      <xdr:nvCxnSpPr>
        <xdr:cNvPr id="65087" name="직선 화살표 연결선 65086">
          <a:extLst>
            <a:ext uri="{FF2B5EF4-FFF2-40B4-BE49-F238E27FC236}">
              <a16:creationId xmlns:a16="http://schemas.microsoft.com/office/drawing/2014/main" id="{D927C1A5-5FA1-AD45-0C96-611822F65630}"/>
            </a:ext>
          </a:extLst>
        </xdr:cNvPr>
        <xdr:cNvCxnSpPr/>
      </xdr:nvCxnSpPr>
      <xdr:spPr>
        <a:xfrm>
          <a:off x="10462260"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41</xdr:row>
      <xdr:rowOff>19050</xdr:rowOff>
    </xdr:from>
    <xdr:to>
      <xdr:col>34</xdr:col>
      <xdr:colOff>21952</xdr:colOff>
      <xdr:row>41</xdr:row>
      <xdr:rowOff>133350</xdr:rowOff>
    </xdr:to>
    <xdr:sp macro="" textlink="">
      <xdr:nvSpPr>
        <xdr:cNvPr id="128" name="38">
          <a:extLst>
            <a:ext uri="{FF2B5EF4-FFF2-40B4-BE49-F238E27FC236}">
              <a16:creationId xmlns:a16="http://schemas.microsoft.com/office/drawing/2014/main" id="{A0B1D345-4341-7D70-A42F-A54FEE557C2F}"/>
            </a:ext>
          </a:extLst>
        </xdr:cNvPr>
        <xdr:cNvSpPr/>
      </xdr:nvSpPr>
      <xdr:spPr>
        <a:xfrm>
          <a:off x="10462260" y="64731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41</xdr:row>
      <xdr:rowOff>76200</xdr:rowOff>
    </xdr:from>
    <xdr:to>
      <xdr:col>33</xdr:col>
      <xdr:colOff>0</xdr:colOff>
      <xdr:row>41</xdr:row>
      <xdr:rowOff>76200</xdr:rowOff>
    </xdr:to>
    <xdr:cxnSp macro="">
      <xdr:nvCxnSpPr>
        <xdr:cNvPr id="133" name="직선 화살표 연결선 132">
          <a:extLst>
            <a:ext uri="{FF2B5EF4-FFF2-40B4-BE49-F238E27FC236}">
              <a16:creationId xmlns:a16="http://schemas.microsoft.com/office/drawing/2014/main" id="{F8CF0C76-CC0A-5972-3A20-1308BD7816EB}"/>
            </a:ext>
          </a:extLst>
        </xdr:cNvPr>
        <xdr:cNvCxnSpPr/>
      </xdr:nvCxnSpPr>
      <xdr:spPr>
        <a:xfrm>
          <a:off x="10462260"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40</xdr:row>
      <xdr:rowOff>19050</xdr:rowOff>
    </xdr:from>
    <xdr:to>
      <xdr:col>34</xdr:col>
      <xdr:colOff>21952</xdr:colOff>
      <xdr:row>40</xdr:row>
      <xdr:rowOff>133350</xdr:rowOff>
    </xdr:to>
    <xdr:sp macro="" textlink="">
      <xdr:nvSpPr>
        <xdr:cNvPr id="134" name="37">
          <a:extLst>
            <a:ext uri="{FF2B5EF4-FFF2-40B4-BE49-F238E27FC236}">
              <a16:creationId xmlns:a16="http://schemas.microsoft.com/office/drawing/2014/main" id="{005EF474-DBB9-C5D6-C408-5BB843006D57}"/>
            </a:ext>
          </a:extLst>
        </xdr:cNvPr>
        <xdr:cNvSpPr/>
      </xdr:nvSpPr>
      <xdr:spPr>
        <a:xfrm>
          <a:off x="10462260" y="63207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40</xdr:row>
      <xdr:rowOff>76200</xdr:rowOff>
    </xdr:from>
    <xdr:to>
      <xdr:col>33</xdr:col>
      <xdr:colOff>0</xdr:colOff>
      <xdr:row>40</xdr:row>
      <xdr:rowOff>76200</xdr:rowOff>
    </xdr:to>
    <xdr:cxnSp macro="">
      <xdr:nvCxnSpPr>
        <xdr:cNvPr id="135" name="직선 화살표 연결선 134">
          <a:extLst>
            <a:ext uri="{FF2B5EF4-FFF2-40B4-BE49-F238E27FC236}">
              <a16:creationId xmlns:a16="http://schemas.microsoft.com/office/drawing/2014/main" id="{4EEE6CE3-512F-A63E-BEAE-F4D394EF31D4}"/>
            </a:ext>
          </a:extLst>
        </xdr:cNvPr>
        <xdr:cNvCxnSpPr/>
      </xdr:nvCxnSpPr>
      <xdr:spPr>
        <a:xfrm>
          <a:off x="10462260"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39</xdr:row>
      <xdr:rowOff>19050</xdr:rowOff>
    </xdr:from>
    <xdr:to>
      <xdr:col>34</xdr:col>
      <xdr:colOff>21952</xdr:colOff>
      <xdr:row>39</xdr:row>
      <xdr:rowOff>133350</xdr:rowOff>
    </xdr:to>
    <xdr:sp macro="" textlink="">
      <xdr:nvSpPr>
        <xdr:cNvPr id="136" name="36">
          <a:extLst>
            <a:ext uri="{FF2B5EF4-FFF2-40B4-BE49-F238E27FC236}">
              <a16:creationId xmlns:a16="http://schemas.microsoft.com/office/drawing/2014/main" id="{E8DEA418-63FF-977E-4CE8-3CCF4F7B1827}"/>
            </a:ext>
          </a:extLst>
        </xdr:cNvPr>
        <xdr:cNvSpPr/>
      </xdr:nvSpPr>
      <xdr:spPr>
        <a:xfrm>
          <a:off x="10462260" y="6168390"/>
          <a:ext cx="16673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39</xdr:row>
      <xdr:rowOff>76200</xdr:rowOff>
    </xdr:from>
    <xdr:to>
      <xdr:col>33</xdr:col>
      <xdr:colOff>0</xdr:colOff>
      <xdr:row>39</xdr:row>
      <xdr:rowOff>76200</xdr:rowOff>
    </xdr:to>
    <xdr:cxnSp macro="">
      <xdr:nvCxnSpPr>
        <xdr:cNvPr id="137" name="직선 화살표 연결선 136">
          <a:extLst>
            <a:ext uri="{FF2B5EF4-FFF2-40B4-BE49-F238E27FC236}">
              <a16:creationId xmlns:a16="http://schemas.microsoft.com/office/drawing/2014/main" id="{1CECD8A1-9D2D-462B-EA07-7F74C95DB314}"/>
            </a:ext>
          </a:extLst>
        </xdr:cNvPr>
        <xdr:cNvCxnSpPr/>
      </xdr:nvCxnSpPr>
      <xdr:spPr>
        <a:xfrm>
          <a:off x="10462260"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38</xdr:row>
      <xdr:rowOff>19050</xdr:rowOff>
    </xdr:from>
    <xdr:to>
      <xdr:col>34</xdr:col>
      <xdr:colOff>21952</xdr:colOff>
      <xdr:row>38</xdr:row>
      <xdr:rowOff>133350</xdr:rowOff>
    </xdr:to>
    <xdr:sp macro="" textlink="">
      <xdr:nvSpPr>
        <xdr:cNvPr id="138" name="35">
          <a:extLst>
            <a:ext uri="{FF2B5EF4-FFF2-40B4-BE49-F238E27FC236}">
              <a16:creationId xmlns:a16="http://schemas.microsoft.com/office/drawing/2014/main" id="{40FB94F1-9CD3-61B8-9552-8AFEB8ECAF76}"/>
            </a:ext>
          </a:extLst>
        </xdr:cNvPr>
        <xdr:cNvSpPr/>
      </xdr:nvSpPr>
      <xdr:spPr>
        <a:xfrm>
          <a:off x="10462260" y="6015990"/>
          <a:ext cx="16673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38</xdr:row>
      <xdr:rowOff>76200</xdr:rowOff>
    </xdr:from>
    <xdr:to>
      <xdr:col>33</xdr:col>
      <xdr:colOff>0</xdr:colOff>
      <xdr:row>38</xdr:row>
      <xdr:rowOff>76200</xdr:rowOff>
    </xdr:to>
    <xdr:cxnSp macro="">
      <xdr:nvCxnSpPr>
        <xdr:cNvPr id="139" name="직선 화살표 연결선 138">
          <a:extLst>
            <a:ext uri="{FF2B5EF4-FFF2-40B4-BE49-F238E27FC236}">
              <a16:creationId xmlns:a16="http://schemas.microsoft.com/office/drawing/2014/main" id="{BAE9C965-E574-05BB-516B-B0AA21514373}"/>
            </a:ext>
          </a:extLst>
        </xdr:cNvPr>
        <xdr:cNvCxnSpPr/>
      </xdr:nvCxnSpPr>
      <xdr:spPr>
        <a:xfrm>
          <a:off x="10462260"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36</xdr:row>
      <xdr:rowOff>19050</xdr:rowOff>
    </xdr:from>
    <xdr:to>
      <xdr:col>35</xdr:col>
      <xdr:colOff>21953</xdr:colOff>
      <xdr:row>36</xdr:row>
      <xdr:rowOff>133350</xdr:rowOff>
    </xdr:to>
    <xdr:sp macro="" textlink="">
      <xdr:nvSpPr>
        <xdr:cNvPr id="140" name="33">
          <a:extLst>
            <a:ext uri="{FF2B5EF4-FFF2-40B4-BE49-F238E27FC236}">
              <a16:creationId xmlns:a16="http://schemas.microsoft.com/office/drawing/2014/main" id="{8A4F93B0-19B2-6DB9-4882-956770F46D83}"/>
            </a:ext>
          </a:extLst>
        </xdr:cNvPr>
        <xdr:cNvSpPr/>
      </xdr:nvSpPr>
      <xdr:spPr>
        <a:xfrm>
          <a:off x="10627723" y="57111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36</xdr:row>
      <xdr:rowOff>76200</xdr:rowOff>
    </xdr:from>
    <xdr:to>
      <xdr:col>34</xdr:col>
      <xdr:colOff>20683</xdr:colOff>
      <xdr:row>36</xdr:row>
      <xdr:rowOff>76200</xdr:rowOff>
    </xdr:to>
    <xdr:cxnSp macro="">
      <xdr:nvCxnSpPr>
        <xdr:cNvPr id="416" name="직선 화살표 연결선 415">
          <a:extLst>
            <a:ext uri="{FF2B5EF4-FFF2-40B4-BE49-F238E27FC236}">
              <a16:creationId xmlns:a16="http://schemas.microsoft.com/office/drawing/2014/main" id="{F361184C-276E-D815-D684-41F64B9B0508}"/>
            </a:ext>
          </a:extLst>
        </xdr:cNvPr>
        <xdr:cNvCxnSpPr/>
      </xdr:nvCxnSpPr>
      <xdr:spPr>
        <a:xfrm>
          <a:off x="10627723"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35</xdr:row>
      <xdr:rowOff>19050</xdr:rowOff>
    </xdr:from>
    <xdr:to>
      <xdr:col>35</xdr:col>
      <xdr:colOff>21953</xdr:colOff>
      <xdr:row>35</xdr:row>
      <xdr:rowOff>133350</xdr:rowOff>
    </xdr:to>
    <xdr:sp macro="" textlink="">
      <xdr:nvSpPr>
        <xdr:cNvPr id="417" name="32">
          <a:extLst>
            <a:ext uri="{FF2B5EF4-FFF2-40B4-BE49-F238E27FC236}">
              <a16:creationId xmlns:a16="http://schemas.microsoft.com/office/drawing/2014/main" id="{9C3973CF-A02B-1487-8AB4-8537F0AC16D3}"/>
            </a:ext>
          </a:extLst>
        </xdr:cNvPr>
        <xdr:cNvSpPr/>
      </xdr:nvSpPr>
      <xdr:spPr>
        <a:xfrm>
          <a:off x="10627723" y="55587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35</xdr:row>
      <xdr:rowOff>76200</xdr:rowOff>
    </xdr:from>
    <xdr:to>
      <xdr:col>34</xdr:col>
      <xdr:colOff>20683</xdr:colOff>
      <xdr:row>35</xdr:row>
      <xdr:rowOff>76200</xdr:rowOff>
    </xdr:to>
    <xdr:cxnSp macro="">
      <xdr:nvCxnSpPr>
        <xdr:cNvPr id="418" name="직선 화살표 연결선 417">
          <a:extLst>
            <a:ext uri="{FF2B5EF4-FFF2-40B4-BE49-F238E27FC236}">
              <a16:creationId xmlns:a16="http://schemas.microsoft.com/office/drawing/2014/main" id="{49646989-F3BC-F99E-55E0-5E0AB0B70E10}"/>
            </a:ext>
          </a:extLst>
        </xdr:cNvPr>
        <xdr:cNvCxnSpPr/>
      </xdr:nvCxnSpPr>
      <xdr:spPr>
        <a:xfrm>
          <a:off x="10627723"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34</xdr:row>
      <xdr:rowOff>19050</xdr:rowOff>
    </xdr:from>
    <xdr:to>
      <xdr:col>35</xdr:col>
      <xdr:colOff>21953</xdr:colOff>
      <xdr:row>34</xdr:row>
      <xdr:rowOff>133350</xdr:rowOff>
    </xdr:to>
    <xdr:sp macro="" textlink="">
      <xdr:nvSpPr>
        <xdr:cNvPr id="419" name="31">
          <a:extLst>
            <a:ext uri="{FF2B5EF4-FFF2-40B4-BE49-F238E27FC236}">
              <a16:creationId xmlns:a16="http://schemas.microsoft.com/office/drawing/2014/main" id="{5E9C4BB5-0C8E-2AB7-E8BF-7BBC61929C04}"/>
            </a:ext>
          </a:extLst>
        </xdr:cNvPr>
        <xdr:cNvSpPr/>
      </xdr:nvSpPr>
      <xdr:spPr>
        <a:xfrm>
          <a:off x="10627723" y="54063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34</xdr:row>
      <xdr:rowOff>76200</xdr:rowOff>
    </xdr:from>
    <xdr:to>
      <xdr:col>34</xdr:col>
      <xdr:colOff>20683</xdr:colOff>
      <xdr:row>34</xdr:row>
      <xdr:rowOff>76200</xdr:rowOff>
    </xdr:to>
    <xdr:cxnSp macro="">
      <xdr:nvCxnSpPr>
        <xdr:cNvPr id="420" name="직선 화살표 연결선 419">
          <a:extLst>
            <a:ext uri="{FF2B5EF4-FFF2-40B4-BE49-F238E27FC236}">
              <a16:creationId xmlns:a16="http://schemas.microsoft.com/office/drawing/2014/main" id="{F63B92EC-D8C7-8791-C9BD-1C9684EFD621}"/>
            </a:ext>
          </a:extLst>
        </xdr:cNvPr>
        <xdr:cNvCxnSpPr/>
      </xdr:nvCxnSpPr>
      <xdr:spPr>
        <a:xfrm>
          <a:off x="10627723"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33</xdr:row>
      <xdr:rowOff>19050</xdr:rowOff>
    </xdr:from>
    <xdr:to>
      <xdr:col>35</xdr:col>
      <xdr:colOff>21953</xdr:colOff>
      <xdr:row>33</xdr:row>
      <xdr:rowOff>133350</xdr:rowOff>
    </xdr:to>
    <xdr:sp macro="" textlink="">
      <xdr:nvSpPr>
        <xdr:cNvPr id="421" name="30">
          <a:extLst>
            <a:ext uri="{FF2B5EF4-FFF2-40B4-BE49-F238E27FC236}">
              <a16:creationId xmlns:a16="http://schemas.microsoft.com/office/drawing/2014/main" id="{E253896F-CB1E-DF2C-C2DD-4546A3904ABE}"/>
            </a:ext>
          </a:extLst>
        </xdr:cNvPr>
        <xdr:cNvSpPr/>
      </xdr:nvSpPr>
      <xdr:spPr>
        <a:xfrm>
          <a:off x="10627723" y="52539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33</xdr:row>
      <xdr:rowOff>76200</xdr:rowOff>
    </xdr:from>
    <xdr:to>
      <xdr:col>34</xdr:col>
      <xdr:colOff>20683</xdr:colOff>
      <xdr:row>33</xdr:row>
      <xdr:rowOff>76200</xdr:rowOff>
    </xdr:to>
    <xdr:cxnSp macro="">
      <xdr:nvCxnSpPr>
        <xdr:cNvPr id="422" name="직선 화살표 연결선 421">
          <a:extLst>
            <a:ext uri="{FF2B5EF4-FFF2-40B4-BE49-F238E27FC236}">
              <a16:creationId xmlns:a16="http://schemas.microsoft.com/office/drawing/2014/main" id="{7020BF04-E097-B288-38A3-8CDE0D9C3F4B}"/>
            </a:ext>
          </a:extLst>
        </xdr:cNvPr>
        <xdr:cNvCxnSpPr/>
      </xdr:nvCxnSpPr>
      <xdr:spPr>
        <a:xfrm>
          <a:off x="10627723"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32</xdr:row>
      <xdr:rowOff>19050</xdr:rowOff>
    </xdr:from>
    <xdr:to>
      <xdr:col>35</xdr:col>
      <xdr:colOff>21953</xdr:colOff>
      <xdr:row>32</xdr:row>
      <xdr:rowOff>133350</xdr:rowOff>
    </xdr:to>
    <xdr:sp macro="" textlink="">
      <xdr:nvSpPr>
        <xdr:cNvPr id="423" name="29">
          <a:extLst>
            <a:ext uri="{FF2B5EF4-FFF2-40B4-BE49-F238E27FC236}">
              <a16:creationId xmlns:a16="http://schemas.microsoft.com/office/drawing/2014/main" id="{A267C5E6-27FF-5401-A903-B9A2B91622A9}"/>
            </a:ext>
          </a:extLst>
        </xdr:cNvPr>
        <xdr:cNvSpPr/>
      </xdr:nvSpPr>
      <xdr:spPr>
        <a:xfrm>
          <a:off x="10627723" y="510159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32</xdr:row>
      <xdr:rowOff>76200</xdr:rowOff>
    </xdr:from>
    <xdr:to>
      <xdr:col>34</xdr:col>
      <xdr:colOff>20683</xdr:colOff>
      <xdr:row>32</xdr:row>
      <xdr:rowOff>76200</xdr:rowOff>
    </xdr:to>
    <xdr:cxnSp macro="">
      <xdr:nvCxnSpPr>
        <xdr:cNvPr id="424" name="직선 화살표 연결선 423">
          <a:extLst>
            <a:ext uri="{FF2B5EF4-FFF2-40B4-BE49-F238E27FC236}">
              <a16:creationId xmlns:a16="http://schemas.microsoft.com/office/drawing/2014/main" id="{17365FBB-F2C2-E6D3-6176-0326D6D5EF75}"/>
            </a:ext>
          </a:extLst>
        </xdr:cNvPr>
        <xdr:cNvCxnSpPr/>
      </xdr:nvCxnSpPr>
      <xdr:spPr>
        <a:xfrm>
          <a:off x="10627723"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31</xdr:row>
      <xdr:rowOff>19050</xdr:rowOff>
    </xdr:from>
    <xdr:to>
      <xdr:col>35</xdr:col>
      <xdr:colOff>21953</xdr:colOff>
      <xdr:row>31</xdr:row>
      <xdr:rowOff>133350</xdr:rowOff>
    </xdr:to>
    <xdr:sp macro="" textlink="">
      <xdr:nvSpPr>
        <xdr:cNvPr id="425" name="28">
          <a:extLst>
            <a:ext uri="{FF2B5EF4-FFF2-40B4-BE49-F238E27FC236}">
              <a16:creationId xmlns:a16="http://schemas.microsoft.com/office/drawing/2014/main" id="{BB1830C3-35B8-A471-67A5-34184AA6B570}"/>
            </a:ext>
          </a:extLst>
        </xdr:cNvPr>
        <xdr:cNvSpPr/>
      </xdr:nvSpPr>
      <xdr:spPr>
        <a:xfrm>
          <a:off x="10627723" y="4949190"/>
          <a:ext cx="14605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31</xdr:row>
      <xdr:rowOff>76200</xdr:rowOff>
    </xdr:from>
    <xdr:to>
      <xdr:col>34</xdr:col>
      <xdr:colOff>20683</xdr:colOff>
      <xdr:row>31</xdr:row>
      <xdr:rowOff>76200</xdr:rowOff>
    </xdr:to>
    <xdr:cxnSp macro="">
      <xdr:nvCxnSpPr>
        <xdr:cNvPr id="426" name="직선 화살표 연결선 425">
          <a:extLst>
            <a:ext uri="{FF2B5EF4-FFF2-40B4-BE49-F238E27FC236}">
              <a16:creationId xmlns:a16="http://schemas.microsoft.com/office/drawing/2014/main" id="{531BFFD6-CA98-6989-C93F-077E27BE1502}"/>
            </a:ext>
          </a:extLst>
        </xdr:cNvPr>
        <xdr:cNvCxnSpPr/>
      </xdr:nvCxnSpPr>
      <xdr:spPr>
        <a:xfrm>
          <a:off x="10627723"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30</xdr:row>
      <xdr:rowOff>19050</xdr:rowOff>
    </xdr:from>
    <xdr:to>
      <xdr:col>35</xdr:col>
      <xdr:colOff>21953</xdr:colOff>
      <xdr:row>30</xdr:row>
      <xdr:rowOff>133350</xdr:rowOff>
    </xdr:to>
    <xdr:sp macro="" textlink="">
      <xdr:nvSpPr>
        <xdr:cNvPr id="438" name="27">
          <a:extLst>
            <a:ext uri="{FF2B5EF4-FFF2-40B4-BE49-F238E27FC236}">
              <a16:creationId xmlns:a16="http://schemas.microsoft.com/office/drawing/2014/main" id="{1C9C01DE-14B7-5B26-08F7-254C639C263A}"/>
            </a:ext>
          </a:extLst>
        </xdr:cNvPr>
        <xdr:cNvSpPr/>
      </xdr:nvSpPr>
      <xdr:spPr>
        <a:xfrm>
          <a:off x="10441577" y="4796790"/>
          <a:ext cx="33219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30</xdr:row>
      <xdr:rowOff>76200</xdr:rowOff>
    </xdr:from>
    <xdr:to>
      <xdr:col>32</xdr:col>
      <xdr:colOff>124097</xdr:colOff>
      <xdr:row>30</xdr:row>
      <xdr:rowOff>76200</xdr:rowOff>
    </xdr:to>
    <xdr:cxnSp macro="">
      <xdr:nvCxnSpPr>
        <xdr:cNvPr id="439" name="직선 화살표 연결선 438">
          <a:extLst>
            <a:ext uri="{FF2B5EF4-FFF2-40B4-BE49-F238E27FC236}">
              <a16:creationId xmlns:a16="http://schemas.microsoft.com/office/drawing/2014/main" id="{9A0223E0-D40F-4595-5D68-0EE8765F7C7F}"/>
            </a:ext>
          </a:extLst>
        </xdr:cNvPr>
        <xdr:cNvCxnSpPr/>
      </xdr:nvCxnSpPr>
      <xdr:spPr>
        <a:xfrm>
          <a:off x="10441577" y="485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29</xdr:row>
      <xdr:rowOff>19050</xdr:rowOff>
    </xdr:from>
    <xdr:to>
      <xdr:col>37</xdr:col>
      <xdr:colOff>42636</xdr:colOff>
      <xdr:row>29</xdr:row>
      <xdr:rowOff>133350</xdr:rowOff>
    </xdr:to>
    <xdr:sp macro="" textlink="">
      <xdr:nvSpPr>
        <xdr:cNvPr id="440" name="26">
          <a:extLst>
            <a:ext uri="{FF2B5EF4-FFF2-40B4-BE49-F238E27FC236}">
              <a16:creationId xmlns:a16="http://schemas.microsoft.com/office/drawing/2014/main" id="{331DCA00-477E-FC2E-0A56-D7F0243C09DC}"/>
            </a:ext>
          </a:extLst>
        </xdr:cNvPr>
        <xdr:cNvSpPr/>
      </xdr:nvSpPr>
      <xdr:spPr>
        <a:xfrm>
          <a:off x="10482943" y="46443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29</xdr:row>
      <xdr:rowOff>76200</xdr:rowOff>
    </xdr:from>
    <xdr:to>
      <xdr:col>33</xdr:col>
      <xdr:colOff>20683</xdr:colOff>
      <xdr:row>29</xdr:row>
      <xdr:rowOff>76200</xdr:rowOff>
    </xdr:to>
    <xdr:cxnSp macro="">
      <xdr:nvCxnSpPr>
        <xdr:cNvPr id="2490" name="직선 화살표 연결선 2489">
          <a:extLst>
            <a:ext uri="{FF2B5EF4-FFF2-40B4-BE49-F238E27FC236}">
              <a16:creationId xmlns:a16="http://schemas.microsoft.com/office/drawing/2014/main" id="{CCCAF7CC-52EE-6D56-22EA-A968B9FA8869}"/>
            </a:ext>
          </a:extLst>
        </xdr:cNvPr>
        <xdr:cNvCxnSpPr/>
      </xdr:nvCxnSpPr>
      <xdr:spPr>
        <a:xfrm>
          <a:off x="10482943"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28</xdr:row>
      <xdr:rowOff>19050</xdr:rowOff>
    </xdr:from>
    <xdr:to>
      <xdr:col>37</xdr:col>
      <xdr:colOff>42636</xdr:colOff>
      <xdr:row>28</xdr:row>
      <xdr:rowOff>133350</xdr:rowOff>
    </xdr:to>
    <xdr:sp macro="" textlink="">
      <xdr:nvSpPr>
        <xdr:cNvPr id="2491" name="25">
          <a:extLst>
            <a:ext uri="{FF2B5EF4-FFF2-40B4-BE49-F238E27FC236}">
              <a16:creationId xmlns:a16="http://schemas.microsoft.com/office/drawing/2014/main" id="{F43DF11B-7419-F556-D1D9-D908DDD3284F}"/>
            </a:ext>
          </a:extLst>
        </xdr:cNvPr>
        <xdr:cNvSpPr/>
      </xdr:nvSpPr>
      <xdr:spPr>
        <a:xfrm>
          <a:off x="10482943" y="44919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28</xdr:row>
      <xdr:rowOff>76200</xdr:rowOff>
    </xdr:from>
    <xdr:to>
      <xdr:col>33</xdr:col>
      <xdr:colOff>20683</xdr:colOff>
      <xdr:row>28</xdr:row>
      <xdr:rowOff>76200</xdr:rowOff>
    </xdr:to>
    <xdr:cxnSp macro="">
      <xdr:nvCxnSpPr>
        <xdr:cNvPr id="2492" name="직선 화살표 연결선 2491">
          <a:extLst>
            <a:ext uri="{FF2B5EF4-FFF2-40B4-BE49-F238E27FC236}">
              <a16:creationId xmlns:a16="http://schemas.microsoft.com/office/drawing/2014/main" id="{763C09B0-BA89-CDA8-4E71-C429B71E0E89}"/>
            </a:ext>
          </a:extLst>
        </xdr:cNvPr>
        <xdr:cNvCxnSpPr/>
      </xdr:nvCxnSpPr>
      <xdr:spPr>
        <a:xfrm>
          <a:off x="10482943"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27</xdr:row>
      <xdr:rowOff>19050</xdr:rowOff>
    </xdr:from>
    <xdr:to>
      <xdr:col>37</xdr:col>
      <xdr:colOff>42636</xdr:colOff>
      <xdr:row>27</xdr:row>
      <xdr:rowOff>133350</xdr:rowOff>
    </xdr:to>
    <xdr:sp macro="" textlink="">
      <xdr:nvSpPr>
        <xdr:cNvPr id="2493" name="24">
          <a:extLst>
            <a:ext uri="{FF2B5EF4-FFF2-40B4-BE49-F238E27FC236}">
              <a16:creationId xmlns:a16="http://schemas.microsoft.com/office/drawing/2014/main" id="{58F4BD73-0AEB-5597-7365-A4C15B80D82A}"/>
            </a:ext>
          </a:extLst>
        </xdr:cNvPr>
        <xdr:cNvSpPr/>
      </xdr:nvSpPr>
      <xdr:spPr>
        <a:xfrm>
          <a:off x="10482943" y="43395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27</xdr:row>
      <xdr:rowOff>76200</xdr:rowOff>
    </xdr:from>
    <xdr:to>
      <xdr:col>33</xdr:col>
      <xdr:colOff>20683</xdr:colOff>
      <xdr:row>27</xdr:row>
      <xdr:rowOff>76200</xdr:rowOff>
    </xdr:to>
    <xdr:cxnSp macro="">
      <xdr:nvCxnSpPr>
        <xdr:cNvPr id="2494" name="직선 화살표 연결선 2493">
          <a:extLst>
            <a:ext uri="{FF2B5EF4-FFF2-40B4-BE49-F238E27FC236}">
              <a16:creationId xmlns:a16="http://schemas.microsoft.com/office/drawing/2014/main" id="{EB8327F5-1821-4E02-6E47-5F98EF63BD71}"/>
            </a:ext>
          </a:extLst>
        </xdr:cNvPr>
        <xdr:cNvCxnSpPr/>
      </xdr:nvCxnSpPr>
      <xdr:spPr>
        <a:xfrm>
          <a:off x="10482943"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26</xdr:row>
      <xdr:rowOff>19050</xdr:rowOff>
    </xdr:from>
    <xdr:to>
      <xdr:col>37</xdr:col>
      <xdr:colOff>42636</xdr:colOff>
      <xdr:row>26</xdr:row>
      <xdr:rowOff>133350</xdr:rowOff>
    </xdr:to>
    <xdr:sp macro="" textlink="">
      <xdr:nvSpPr>
        <xdr:cNvPr id="2495" name="23">
          <a:extLst>
            <a:ext uri="{FF2B5EF4-FFF2-40B4-BE49-F238E27FC236}">
              <a16:creationId xmlns:a16="http://schemas.microsoft.com/office/drawing/2014/main" id="{B4E8BF7E-5EB4-7239-44C8-47C1AA2F2DB7}"/>
            </a:ext>
          </a:extLst>
        </xdr:cNvPr>
        <xdr:cNvSpPr/>
      </xdr:nvSpPr>
      <xdr:spPr>
        <a:xfrm>
          <a:off x="10482943" y="41871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26</xdr:row>
      <xdr:rowOff>76200</xdr:rowOff>
    </xdr:from>
    <xdr:to>
      <xdr:col>33</xdr:col>
      <xdr:colOff>20683</xdr:colOff>
      <xdr:row>26</xdr:row>
      <xdr:rowOff>76200</xdr:rowOff>
    </xdr:to>
    <xdr:cxnSp macro="">
      <xdr:nvCxnSpPr>
        <xdr:cNvPr id="62080" name="직선 화살표 연결선 62079">
          <a:extLst>
            <a:ext uri="{FF2B5EF4-FFF2-40B4-BE49-F238E27FC236}">
              <a16:creationId xmlns:a16="http://schemas.microsoft.com/office/drawing/2014/main" id="{D923BF68-B74D-FE10-FB19-EF118BBB9E03}"/>
            </a:ext>
          </a:extLst>
        </xdr:cNvPr>
        <xdr:cNvCxnSpPr/>
      </xdr:nvCxnSpPr>
      <xdr:spPr>
        <a:xfrm>
          <a:off x="10482943"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37</xdr:col>
      <xdr:colOff>42636</xdr:colOff>
      <xdr:row>25</xdr:row>
      <xdr:rowOff>133350</xdr:rowOff>
    </xdr:to>
    <xdr:sp macro="" textlink="">
      <xdr:nvSpPr>
        <xdr:cNvPr id="62081" name="22">
          <a:extLst>
            <a:ext uri="{FF2B5EF4-FFF2-40B4-BE49-F238E27FC236}">
              <a16:creationId xmlns:a16="http://schemas.microsoft.com/office/drawing/2014/main" id="{52414D8A-35A6-BA5B-E4C9-941F041B18CE}"/>
            </a:ext>
          </a:extLst>
        </xdr:cNvPr>
        <xdr:cNvSpPr/>
      </xdr:nvSpPr>
      <xdr:spPr>
        <a:xfrm>
          <a:off x="10482943" y="4034790"/>
          <a:ext cx="601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33</xdr:col>
      <xdr:colOff>20683</xdr:colOff>
      <xdr:row>25</xdr:row>
      <xdr:rowOff>76200</xdr:rowOff>
    </xdr:to>
    <xdr:cxnSp macro="">
      <xdr:nvCxnSpPr>
        <xdr:cNvPr id="62082" name="직선 화살표 연결선 62081">
          <a:extLst>
            <a:ext uri="{FF2B5EF4-FFF2-40B4-BE49-F238E27FC236}">
              <a16:creationId xmlns:a16="http://schemas.microsoft.com/office/drawing/2014/main" id="{7B299C6F-138D-4569-F64F-0C655D21BBA2}"/>
            </a:ext>
          </a:extLst>
        </xdr:cNvPr>
        <xdr:cNvCxnSpPr/>
      </xdr:nvCxnSpPr>
      <xdr:spPr>
        <a:xfrm>
          <a:off x="10482943"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37</xdr:col>
      <xdr:colOff>42636</xdr:colOff>
      <xdr:row>24</xdr:row>
      <xdr:rowOff>133350</xdr:rowOff>
    </xdr:to>
    <xdr:sp macro="" textlink="">
      <xdr:nvSpPr>
        <xdr:cNvPr id="62083" name="21">
          <a:extLst>
            <a:ext uri="{FF2B5EF4-FFF2-40B4-BE49-F238E27FC236}">
              <a16:creationId xmlns:a16="http://schemas.microsoft.com/office/drawing/2014/main" id="{39C926CB-5B89-A8CD-124A-E0E7553CE2B3}"/>
            </a:ext>
          </a:extLst>
        </xdr:cNvPr>
        <xdr:cNvSpPr/>
      </xdr:nvSpPr>
      <xdr:spPr>
        <a:xfrm>
          <a:off x="10482943" y="388239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33</xdr:col>
      <xdr:colOff>20683</xdr:colOff>
      <xdr:row>24</xdr:row>
      <xdr:rowOff>76200</xdr:rowOff>
    </xdr:to>
    <xdr:cxnSp macro="">
      <xdr:nvCxnSpPr>
        <xdr:cNvPr id="62084" name="직선 화살표 연결선 62083">
          <a:extLst>
            <a:ext uri="{FF2B5EF4-FFF2-40B4-BE49-F238E27FC236}">
              <a16:creationId xmlns:a16="http://schemas.microsoft.com/office/drawing/2014/main" id="{B77FB405-64D6-CA4F-2CBF-A91D60470CE6}"/>
            </a:ext>
          </a:extLst>
        </xdr:cNvPr>
        <xdr:cNvCxnSpPr/>
      </xdr:nvCxnSpPr>
      <xdr:spPr>
        <a:xfrm>
          <a:off x="10482943"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23</xdr:row>
      <xdr:rowOff>19050</xdr:rowOff>
    </xdr:from>
    <xdr:to>
      <xdr:col>36</xdr:col>
      <xdr:colOff>63319</xdr:colOff>
      <xdr:row>23</xdr:row>
      <xdr:rowOff>133350</xdr:rowOff>
    </xdr:to>
    <xdr:sp macro="" textlink="">
      <xdr:nvSpPr>
        <xdr:cNvPr id="62085" name="20">
          <a:extLst>
            <a:ext uri="{FF2B5EF4-FFF2-40B4-BE49-F238E27FC236}">
              <a16:creationId xmlns:a16="http://schemas.microsoft.com/office/drawing/2014/main" id="{C6BE864B-7092-7178-2AF9-6F278F3703EC}"/>
            </a:ext>
          </a:extLst>
        </xdr:cNvPr>
        <xdr:cNvSpPr/>
      </xdr:nvSpPr>
      <xdr:spPr>
        <a:xfrm>
          <a:off x="10772503" y="3729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23</xdr:row>
      <xdr:rowOff>76200</xdr:rowOff>
    </xdr:from>
    <xdr:to>
      <xdr:col>35</xdr:col>
      <xdr:colOff>20683</xdr:colOff>
      <xdr:row>23</xdr:row>
      <xdr:rowOff>76200</xdr:rowOff>
    </xdr:to>
    <xdr:cxnSp macro="">
      <xdr:nvCxnSpPr>
        <xdr:cNvPr id="62086" name="직선 화살표 연결선 62085">
          <a:extLst>
            <a:ext uri="{FF2B5EF4-FFF2-40B4-BE49-F238E27FC236}">
              <a16:creationId xmlns:a16="http://schemas.microsoft.com/office/drawing/2014/main" id="{85235D27-8371-651F-F5C2-854E2015E543}"/>
            </a:ext>
          </a:extLst>
        </xdr:cNvPr>
        <xdr:cNvCxnSpPr/>
      </xdr:nvCxnSpPr>
      <xdr:spPr>
        <a:xfrm>
          <a:off x="10772503" y="378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22</xdr:row>
      <xdr:rowOff>19050</xdr:rowOff>
    </xdr:from>
    <xdr:to>
      <xdr:col>36</xdr:col>
      <xdr:colOff>63319</xdr:colOff>
      <xdr:row>22</xdr:row>
      <xdr:rowOff>133350</xdr:rowOff>
    </xdr:to>
    <xdr:sp macro="" textlink="">
      <xdr:nvSpPr>
        <xdr:cNvPr id="62087" name="19">
          <a:extLst>
            <a:ext uri="{FF2B5EF4-FFF2-40B4-BE49-F238E27FC236}">
              <a16:creationId xmlns:a16="http://schemas.microsoft.com/office/drawing/2014/main" id="{D2A4FF2B-0519-7925-714C-B03970301B22}"/>
            </a:ext>
          </a:extLst>
        </xdr:cNvPr>
        <xdr:cNvSpPr/>
      </xdr:nvSpPr>
      <xdr:spPr>
        <a:xfrm>
          <a:off x="10772503" y="35775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22</xdr:row>
      <xdr:rowOff>76200</xdr:rowOff>
    </xdr:from>
    <xdr:to>
      <xdr:col>35</xdr:col>
      <xdr:colOff>20683</xdr:colOff>
      <xdr:row>22</xdr:row>
      <xdr:rowOff>76200</xdr:rowOff>
    </xdr:to>
    <xdr:cxnSp macro="">
      <xdr:nvCxnSpPr>
        <xdr:cNvPr id="62088" name="직선 화살표 연결선 62087">
          <a:extLst>
            <a:ext uri="{FF2B5EF4-FFF2-40B4-BE49-F238E27FC236}">
              <a16:creationId xmlns:a16="http://schemas.microsoft.com/office/drawing/2014/main" id="{FE403783-4934-9CDA-4D2B-04AB64190B05}"/>
            </a:ext>
          </a:extLst>
        </xdr:cNvPr>
        <xdr:cNvCxnSpPr/>
      </xdr:nvCxnSpPr>
      <xdr:spPr>
        <a:xfrm>
          <a:off x="10772503" y="363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21</xdr:row>
      <xdr:rowOff>19050</xdr:rowOff>
    </xdr:from>
    <xdr:to>
      <xdr:col>36</xdr:col>
      <xdr:colOff>63319</xdr:colOff>
      <xdr:row>21</xdr:row>
      <xdr:rowOff>133350</xdr:rowOff>
    </xdr:to>
    <xdr:sp macro="" textlink="">
      <xdr:nvSpPr>
        <xdr:cNvPr id="62089" name="18">
          <a:extLst>
            <a:ext uri="{FF2B5EF4-FFF2-40B4-BE49-F238E27FC236}">
              <a16:creationId xmlns:a16="http://schemas.microsoft.com/office/drawing/2014/main" id="{7622B67F-B169-DCC9-5CF2-F643210B5420}"/>
            </a:ext>
          </a:extLst>
        </xdr:cNvPr>
        <xdr:cNvSpPr/>
      </xdr:nvSpPr>
      <xdr:spPr>
        <a:xfrm>
          <a:off x="10772503" y="34251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21</xdr:row>
      <xdr:rowOff>76200</xdr:rowOff>
    </xdr:from>
    <xdr:to>
      <xdr:col>35</xdr:col>
      <xdr:colOff>20683</xdr:colOff>
      <xdr:row>21</xdr:row>
      <xdr:rowOff>76200</xdr:rowOff>
    </xdr:to>
    <xdr:cxnSp macro="">
      <xdr:nvCxnSpPr>
        <xdr:cNvPr id="62090" name="직선 화살표 연결선 62089">
          <a:extLst>
            <a:ext uri="{FF2B5EF4-FFF2-40B4-BE49-F238E27FC236}">
              <a16:creationId xmlns:a16="http://schemas.microsoft.com/office/drawing/2014/main" id="{E6AEAB9A-1B29-F8F1-1F7A-C65E22E8DA30}"/>
            </a:ext>
          </a:extLst>
        </xdr:cNvPr>
        <xdr:cNvCxnSpPr/>
      </xdr:nvCxnSpPr>
      <xdr:spPr>
        <a:xfrm>
          <a:off x="10772503" y="348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20</xdr:row>
      <xdr:rowOff>19050</xdr:rowOff>
    </xdr:from>
    <xdr:to>
      <xdr:col>36</xdr:col>
      <xdr:colOff>63319</xdr:colOff>
      <xdr:row>20</xdr:row>
      <xdr:rowOff>133350</xdr:rowOff>
    </xdr:to>
    <xdr:sp macro="" textlink="">
      <xdr:nvSpPr>
        <xdr:cNvPr id="62091" name="17">
          <a:extLst>
            <a:ext uri="{FF2B5EF4-FFF2-40B4-BE49-F238E27FC236}">
              <a16:creationId xmlns:a16="http://schemas.microsoft.com/office/drawing/2014/main" id="{CCE6F567-F667-FC26-A125-41D182EF9D01}"/>
            </a:ext>
          </a:extLst>
        </xdr:cNvPr>
        <xdr:cNvSpPr/>
      </xdr:nvSpPr>
      <xdr:spPr>
        <a:xfrm>
          <a:off x="10772503" y="32727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20</xdr:row>
      <xdr:rowOff>76200</xdr:rowOff>
    </xdr:from>
    <xdr:to>
      <xdr:col>35</xdr:col>
      <xdr:colOff>20683</xdr:colOff>
      <xdr:row>20</xdr:row>
      <xdr:rowOff>76200</xdr:rowOff>
    </xdr:to>
    <xdr:cxnSp macro="">
      <xdr:nvCxnSpPr>
        <xdr:cNvPr id="62092" name="직선 화살표 연결선 62091">
          <a:extLst>
            <a:ext uri="{FF2B5EF4-FFF2-40B4-BE49-F238E27FC236}">
              <a16:creationId xmlns:a16="http://schemas.microsoft.com/office/drawing/2014/main" id="{AFB4EB5D-0C03-4698-9AC3-B5FA635EBB7E}"/>
            </a:ext>
          </a:extLst>
        </xdr:cNvPr>
        <xdr:cNvCxnSpPr/>
      </xdr:nvCxnSpPr>
      <xdr:spPr>
        <a:xfrm>
          <a:off x="10772503" y="332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19</xdr:row>
      <xdr:rowOff>19050</xdr:rowOff>
    </xdr:from>
    <xdr:to>
      <xdr:col>36</xdr:col>
      <xdr:colOff>2903</xdr:colOff>
      <xdr:row>19</xdr:row>
      <xdr:rowOff>146050</xdr:rowOff>
    </xdr:to>
    <xdr:sp macro="" textlink="">
      <xdr:nvSpPr>
        <xdr:cNvPr id="62093" name="16">
          <a:extLst>
            <a:ext uri="{FF2B5EF4-FFF2-40B4-BE49-F238E27FC236}">
              <a16:creationId xmlns:a16="http://schemas.microsoft.com/office/drawing/2014/main" id="{0FF5B722-9731-7553-32D1-2DB80CF61D9D}"/>
            </a:ext>
          </a:extLst>
        </xdr:cNvPr>
        <xdr:cNvSpPr/>
      </xdr:nvSpPr>
      <xdr:spPr>
        <a:xfrm>
          <a:off x="10772503" y="3120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19050</xdr:rowOff>
    </xdr:from>
    <xdr:to>
      <xdr:col>36</xdr:col>
      <xdr:colOff>63319</xdr:colOff>
      <xdr:row>18</xdr:row>
      <xdr:rowOff>133350</xdr:rowOff>
    </xdr:to>
    <xdr:sp macro="" textlink="">
      <xdr:nvSpPr>
        <xdr:cNvPr id="62094" name="15">
          <a:extLst>
            <a:ext uri="{FF2B5EF4-FFF2-40B4-BE49-F238E27FC236}">
              <a16:creationId xmlns:a16="http://schemas.microsoft.com/office/drawing/2014/main" id="{8085E4C9-F1DE-BDF1-7968-EFDBC4707164}"/>
            </a:ext>
          </a:extLst>
        </xdr:cNvPr>
        <xdr:cNvSpPr/>
      </xdr:nvSpPr>
      <xdr:spPr>
        <a:xfrm>
          <a:off x="10772503" y="2967990"/>
          <a:ext cx="1874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36</xdr:col>
      <xdr:colOff>62049</xdr:colOff>
      <xdr:row>18</xdr:row>
      <xdr:rowOff>76200</xdr:rowOff>
    </xdr:to>
    <xdr:cxnSp macro="">
      <xdr:nvCxnSpPr>
        <xdr:cNvPr id="62095" name="직선 화살표 연결선 62094">
          <a:extLst>
            <a:ext uri="{FF2B5EF4-FFF2-40B4-BE49-F238E27FC236}">
              <a16:creationId xmlns:a16="http://schemas.microsoft.com/office/drawing/2014/main" id="{DF49D6EE-902D-8616-2621-35C699F777A1}"/>
            </a:ext>
          </a:extLst>
        </xdr:cNvPr>
        <xdr:cNvCxnSpPr/>
      </xdr:nvCxnSpPr>
      <xdr:spPr>
        <a:xfrm>
          <a:off x="10772503" y="3025140"/>
          <a:ext cx="1861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17</xdr:row>
      <xdr:rowOff>19050</xdr:rowOff>
    </xdr:from>
    <xdr:to>
      <xdr:col>36</xdr:col>
      <xdr:colOff>63319</xdr:colOff>
      <xdr:row>17</xdr:row>
      <xdr:rowOff>133350</xdr:rowOff>
    </xdr:to>
    <xdr:sp macro="" textlink="">
      <xdr:nvSpPr>
        <xdr:cNvPr id="62096" name="14">
          <a:extLst>
            <a:ext uri="{FF2B5EF4-FFF2-40B4-BE49-F238E27FC236}">
              <a16:creationId xmlns:a16="http://schemas.microsoft.com/office/drawing/2014/main" id="{EE783C09-77A2-B002-FFE6-75FDAEF62D81}"/>
            </a:ext>
          </a:extLst>
        </xdr:cNvPr>
        <xdr:cNvSpPr/>
      </xdr:nvSpPr>
      <xdr:spPr>
        <a:xfrm>
          <a:off x="10772503" y="2815590"/>
          <a:ext cx="18741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17</xdr:row>
      <xdr:rowOff>76200</xdr:rowOff>
    </xdr:from>
    <xdr:to>
      <xdr:col>35</xdr:col>
      <xdr:colOff>57912</xdr:colOff>
      <xdr:row>17</xdr:row>
      <xdr:rowOff>76200</xdr:rowOff>
    </xdr:to>
    <xdr:cxnSp macro="">
      <xdr:nvCxnSpPr>
        <xdr:cNvPr id="62097" name="직선 화살표 연결선 62096">
          <a:extLst>
            <a:ext uri="{FF2B5EF4-FFF2-40B4-BE49-F238E27FC236}">
              <a16:creationId xmlns:a16="http://schemas.microsoft.com/office/drawing/2014/main" id="{EEFC8F47-7565-E829-6490-B046D80447AD}"/>
            </a:ext>
          </a:extLst>
        </xdr:cNvPr>
        <xdr:cNvCxnSpPr/>
      </xdr:nvCxnSpPr>
      <xdr:spPr>
        <a:xfrm>
          <a:off x="10772503" y="2872740"/>
          <a:ext cx="37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36</xdr:col>
      <xdr:colOff>63319</xdr:colOff>
      <xdr:row>16</xdr:row>
      <xdr:rowOff>133350</xdr:rowOff>
    </xdr:to>
    <xdr:sp macro="" textlink="">
      <xdr:nvSpPr>
        <xdr:cNvPr id="62098" name="13">
          <a:extLst>
            <a:ext uri="{FF2B5EF4-FFF2-40B4-BE49-F238E27FC236}">
              <a16:creationId xmlns:a16="http://schemas.microsoft.com/office/drawing/2014/main" id="{54198A23-87EE-96CB-3A8D-2F4EDA9D2E70}"/>
            </a:ext>
          </a:extLst>
        </xdr:cNvPr>
        <xdr:cNvSpPr/>
      </xdr:nvSpPr>
      <xdr:spPr>
        <a:xfrm>
          <a:off x="10462260" y="2663190"/>
          <a:ext cx="49765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33</xdr:col>
      <xdr:colOff>0</xdr:colOff>
      <xdr:row>16</xdr:row>
      <xdr:rowOff>76200</xdr:rowOff>
    </xdr:to>
    <xdr:cxnSp macro="">
      <xdr:nvCxnSpPr>
        <xdr:cNvPr id="62099" name="직선 화살표 연결선 62098">
          <a:extLst>
            <a:ext uri="{FF2B5EF4-FFF2-40B4-BE49-F238E27FC236}">
              <a16:creationId xmlns:a16="http://schemas.microsoft.com/office/drawing/2014/main" id="{65B0451D-A743-44EE-C08D-CE3531EE870C}"/>
            </a:ext>
          </a:extLst>
        </xdr:cNvPr>
        <xdr:cNvCxnSpPr/>
      </xdr:nvCxnSpPr>
      <xdr:spPr>
        <a:xfrm>
          <a:off x="10462260" y="272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37</xdr:col>
      <xdr:colOff>42636</xdr:colOff>
      <xdr:row>15</xdr:row>
      <xdr:rowOff>133350</xdr:rowOff>
    </xdr:to>
    <xdr:sp macro="" textlink="">
      <xdr:nvSpPr>
        <xdr:cNvPr id="62100" name="12">
          <a:extLst>
            <a:ext uri="{FF2B5EF4-FFF2-40B4-BE49-F238E27FC236}">
              <a16:creationId xmlns:a16="http://schemas.microsoft.com/office/drawing/2014/main" id="{60FD3AA9-B7BE-D93A-A141-2E8429EFBDF4}"/>
            </a:ext>
          </a:extLst>
        </xdr:cNvPr>
        <xdr:cNvSpPr/>
      </xdr:nvSpPr>
      <xdr:spPr>
        <a:xfrm>
          <a:off x="10462260" y="2510790"/>
          <a:ext cx="6217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27665</xdr:colOff>
      <xdr:row>15</xdr:row>
      <xdr:rowOff>76200</xdr:rowOff>
    </xdr:to>
    <xdr:cxnSp macro="">
      <xdr:nvCxnSpPr>
        <xdr:cNvPr id="62101" name="직선 화살표 연결선 62100">
          <a:extLst>
            <a:ext uri="{FF2B5EF4-FFF2-40B4-BE49-F238E27FC236}">
              <a16:creationId xmlns:a16="http://schemas.microsoft.com/office/drawing/2014/main" id="{0F0E1455-60E1-C21C-9573-D6CFB1B967F7}"/>
            </a:ext>
          </a:extLst>
        </xdr:cNvPr>
        <xdr:cNvCxnSpPr/>
      </xdr:nvCxnSpPr>
      <xdr:spPr>
        <a:xfrm>
          <a:off x="10462260" y="2567940"/>
          <a:ext cx="276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37</xdr:col>
      <xdr:colOff>42636</xdr:colOff>
      <xdr:row>14</xdr:row>
      <xdr:rowOff>133350</xdr:rowOff>
    </xdr:to>
    <xdr:sp macro="" textlink="">
      <xdr:nvSpPr>
        <xdr:cNvPr id="62102" name="11">
          <a:extLst>
            <a:ext uri="{FF2B5EF4-FFF2-40B4-BE49-F238E27FC236}">
              <a16:creationId xmlns:a16="http://schemas.microsoft.com/office/drawing/2014/main" id="{F4CB6B25-8AC8-759C-7858-82E54A51C5BA}"/>
            </a:ext>
          </a:extLst>
        </xdr:cNvPr>
        <xdr:cNvSpPr/>
      </xdr:nvSpPr>
      <xdr:spPr>
        <a:xfrm>
          <a:off x="10441577" y="23583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33</xdr:col>
      <xdr:colOff>1000</xdr:colOff>
      <xdr:row>14</xdr:row>
      <xdr:rowOff>76200</xdr:rowOff>
    </xdr:to>
    <xdr:cxnSp macro="">
      <xdr:nvCxnSpPr>
        <xdr:cNvPr id="62103" name="직선 화살표 연결선 62102">
          <a:extLst>
            <a:ext uri="{FF2B5EF4-FFF2-40B4-BE49-F238E27FC236}">
              <a16:creationId xmlns:a16="http://schemas.microsoft.com/office/drawing/2014/main" id="{A5965F29-571F-24ED-5901-E05D285DB59C}"/>
            </a:ext>
          </a:extLst>
        </xdr:cNvPr>
        <xdr:cNvCxnSpPr/>
      </xdr:nvCxnSpPr>
      <xdr:spPr>
        <a:xfrm>
          <a:off x="10441577" y="2415540"/>
          <a:ext cx="21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37</xdr:col>
      <xdr:colOff>42636</xdr:colOff>
      <xdr:row>13</xdr:row>
      <xdr:rowOff>133350</xdr:rowOff>
    </xdr:to>
    <xdr:sp macro="" textlink="">
      <xdr:nvSpPr>
        <xdr:cNvPr id="62104" name="10">
          <a:extLst>
            <a:ext uri="{FF2B5EF4-FFF2-40B4-BE49-F238E27FC236}">
              <a16:creationId xmlns:a16="http://schemas.microsoft.com/office/drawing/2014/main" id="{BA7B2102-98EE-FA8B-6C07-9F6757437290}"/>
            </a:ext>
          </a:extLst>
        </xdr:cNvPr>
        <xdr:cNvSpPr/>
      </xdr:nvSpPr>
      <xdr:spPr>
        <a:xfrm>
          <a:off x="10441577" y="2205990"/>
          <a:ext cx="64243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33</xdr:col>
      <xdr:colOff>1000</xdr:colOff>
      <xdr:row>13</xdr:row>
      <xdr:rowOff>76200</xdr:rowOff>
    </xdr:to>
    <xdr:cxnSp macro="">
      <xdr:nvCxnSpPr>
        <xdr:cNvPr id="62105" name="직선 화살표 연결선 62104">
          <a:extLst>
            <a:ext uri="{FF2B5EF4-FFF2-40B4-BE49-F238E27FC236}">
              <a16:creationId xmlns:a16="http://schemas.microsoft.com/office/drawing/2014/main" id="{95C8E3EE-33DE-D73A-516E-48F777BB3636}"/>
            </a:ext>
          </a:extLst>
        </xdr:cNvPr>
        <xdr:cNvCxnSpPr/>
      </xdr:nvCxnSpPr>
      <xdr:spPr>
        <a:xfrm>
          <a:off x="10441577" y="2263140"/>
          <a:ext cx="21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12</xdr:row>
      <xdr:rowOff>19050</xdr:rowOff>
    </xdr:from>
    <xdr:to>
      <xdr:col>33</xdr:col>
      <xdr:colOff>1270</xdr:colOff>
      <xdr:row>12</xdr:row>
      <xdr:rowOff>133350</xdr:rowOff>
    </xdr:to>
    <xdr:sp macro="" textlink="">
      <xdr:nvSpPr>
        <xdr:cNvPr id="62106" name="9">
          <a:extLst>
            <a:ext uri="{FF2B5EF4-FFF2-40B4-BE49-F238E27FC236}">
              <a16:creationId xmlns:a16="http://schemas.microsoft.com/office/drawing/2014/main" id="{0591EB49-377A-D7FA-471E-25422A0C8B41}"/>
            </a:ext>
          </a:extLst>
        </xdr:cNvPr>
        <xdr:cNvSpPr/>
      </xdr:nvSpPr>
      <xdr:spPr>
        <a:xfrm>
          <a:off x="10193383" y="2053590"/>
          <a:ext cx="27014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12</xdr:row>
      <xdr:rowOff>76200</xdr:rowOff>
    </xdr:from>
    <xdr:to>
      <xdr:col>33</xdr:col>
      <xdr:colOff>0</xdr:colOff>
      <xdr:row>12</xdr:row>
      <xdr:rowOff>76200</xdr:rowOff>
    </xdr:to>
    <xdr:cxnSp macro="">
      <xdr:nvCxnSpPr>
        <xdr:cNvPr id="62107" name="직선 화살표 연결선 62106">
          <a:extLst>
            <a:ext uri="{FF2B5EF4-FFF2-40B4-BE49-F238E27FC236}">
              <a16:creationId xmlns:a16="http://schemas.microsoft.com/office/drawing/2014/main" id="{E73AEB44-D369-586B-6524-56503BE7283B}"/>
            </a:ext>
          </a:extLst>
        </xdr:cNvPr>
        <xdr:cNvCxnSpPr/>
      </xdr:nvCxnSpPr>
      <xdr:spPr>
        <a:xfrm>
          <a:off x="10193383" y="2110740"/>
          <a:ext cx="2688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21953</xdr:colOff>
      <xdr:row>11</xdr:row>
      <xdr:rowOff>133350</xdr:rowOff>
    </xdr:to>
    <xdr:sp macro="" textlink="">
      <xdr:nvSpPr>
        <xdr:cNvPr id="62108" name="8">
          <a:extLst>
            <a:ext uri="{FF2B5EF4-FFF2-40B4-BE49-F238E27FC236}">
              <a16:creationId xmlns:a16="http://schemas.microsoft.com/office/drawing/2014/main" id="{DFE86585-C9D4-D981-0794-1C1E39A047F4}"/>
            </a:ext>
          </a:extLst>
        </xdr:cNvPr>
        <xdr:cNvSpPr/>
      </xdr:nvSpPr>
      <xdr:spPr>
        <a:xfrm>
          <a:off x="10441577" y="190119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33</xdr:col>
      <xdr:colOff>20683</xdr:colOff>
      <xdr:row>11</xdr:row>
      <xdr:rowOff>76200</xdr:rowOff>
    </xdr:to>
    <xdr:cxnSp macro="">
      <xdr:nvCxnSpPr>
        <xdr:cNvPr id="62109" name="직선 화살표 연결선 62108">
          <a:extLst>
            <a:ext uri="{FF2B5EF4-FFF2-40B4-BE49-F238E27FC236}">
              <a16:creationId xmlns:a16="http://schemas.microsoft.com/office/drawing/2014/main" id="{B71851AF-A992-E85E-41BB-0790C604E99E}"/>
            </a:ext>
          </a:extLst>
        </xdr:cNvPr>
        <xdr:cNvCxnSpPr/>
      </xdr:nvCxnSpPr>
      <xdr:spPr>
        <a:xfrm>
          <a:off x="10441577" y="195834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19050</xdr:rowOff>
    </xdr:from>
    <xdr:to>
      <xdr:col>33</xdr:col>
      <xdr:colOff>21953</xdr:colOff>
      <xdr:row>10</xdr:row>
      <xdr:rowOff>133350</xdr:rowOff>
    </xdr:to>
    <xdr:sp macro="" textlink="">
      <xdr:nvSpPr>
        <xdr:cNvPr id="62110" name="7">
          <a:extLst>
            <a:ext uri="{FF2B5EF4-FFF2-40B4-BE49-F238E27FC236}">
              <a16:creationId xmlns:a16="http://schemas.microsoft.com/office/drawing/2014/main" id="{A12CA192-CE2B-F012-A7D1-1F156DD98C0A}"/>
            </a:ext>
          </a:extLst>
        </xdr:cNvPr>
        <xdr:cNvSpPr/>
      </xdr:nvSpPr>
      <xdr:spPr>
        <a:xfrm>
          <a:off x="10317480" y="1748790"/>
          <a:ext cx="16673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33</xdr:col>
      <xdr:colOff>20683</xdr:colOff>
      <xdr:row>10</xdr:row>
      <xdr:rowOff>76200</xdr:rowOff>
    </xdr:to>
    <xdr:cxnSp macro="">
      <xdr:nvCxnSpPr>
        <xdr:cNvPr id="62111" name="직선 화살표 연결선 62110">
          <a:extLst>
            <a:ext uri="{FF2B5EF4-FFF2-40B4-BE49-F238E27FC236}">
              <a16:creationId xmlns:a16="http://schemas.microsoft.com/office/drawing/2014/main" id="{3908DB5B-2891-FA11-680E-B8259FACE9B7}"/>
            </a:ext>
          </a:extLst>
        </xdr:cNvPr>
        <xdr:cNvCxnSpPr/>
      </xdr:nvCxnSpPr>
      <xdr:spPr>
        <a:xfrm>
          <a:off x="10317480" y="180594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9</xdr:row>
      <xdr:rowOff>19050</xdr:rowOff>
    </xdr:from>
    <xdr:to>
      <xdr:col>32</xdr:col>
      <xdr:colOff>2903</xdr:colOff>
      <xdr:row>9</xdr:row>
      <xdr:rowOff>146050</xdr:rowOff>
    </xdr:to>
    <xdr:sp macro="" textlink="">
      <xdr:nvSpPr>
        <xdr:cNvPr id="62112" name="6">
          <a:extLst>
            <a:ext uri="{FF2B5EF4-FFF2-40B4-BE49-F238E27FC236}">
              <a16:creationId xmlns:a16="http://schemas.microsoft.com/office/drawing/2014/main" id="{DCDE5FF7-36C2-83C3-BD43-44C46D561A80}"/>
            </a:ext>
          </a:extLst>
        </xdr:cNvPr>
        <xdr:cNvSpPr/>
      </xdr:nvSpPr>
      <xdr:spPr>
        <a:xfrm>
          <a:off x="10193383" y="159639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32</xdr:col>
      <xdr:colOff>1270</xdr:colOff>
      <xdr:row>8</xdr:row>
      <xdr:rowOff>133350</xdr:rowOff>
    </xdr:to>
    <xdr:sp macro="" textlink="">
      <xdr:nvSpPr>
        <xdr:cNvPr id="62113" name="5">
          <a:extLst>
            <a:ext uri="{FF2B5EF4-FFF2-40B4-BE49-F238E27FC236}">
              <a16:creationId xmlns:a16="http://schemas.microsoft.com/office/drawing/2014/main" id="{0AF541C9-BF50-A578-E0E5-A6A3E3F5C03E}"/>
            </a:ext>
          </a:extLst>
        </xdr:cNvPr>
        <xdr:cNvSpPr/>
      </xdr:nvSpPr>
      <xdr:spPr>
        <a:xfrm>
          <a:off x="10296797" y="144399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32</xdr:col>
      <xdr:colOff>0</xdr:colOff>
      <xdr:row>8</xdr:row>
      <xdr:rowOff>76200</xdr:rowOff>
    </xdr:to>
    <xdr:cxnSp macro="">
      <xdr:nvCxnSpPr>
        <xdr:cNvPr id="62114" name="직선 화살표 연결선 62113">
          <a:extLst>
            <a:ext uri="{FF2B5EF4-FFF2-40B4-BE49-F238E27FC236}">
              <a16:creationId xmlns:a16="http://schemas.microsoft.com/office/drawing/2014/main" id="{1D04F156-E8E7-DB80-8C9E-961FBBA8EDB7}"/>
            </a:ext>
          </a:extLst>
        </xdr:cNvPr>
        <xdr:cNvCxnSpPr/>
      </xdr:nvCxnSpPr>
      <xdr:spPr>
        <a:xfrm>
          <a:off x="10296797"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125367</xdr:colOff>
      <xdr:row>7</xdr:row>
      <xdr:rowOff>133350</xdr:rowOff>
    </xdr:to>
    <xdr:sp macro="" textlink="">
      <xdr:nvSpPr>
        <xdr:cNvPr id="62115" name="4">
          <a:extLst>
            <a:ext uri="{FF2B5EF4-FFF2-40B4-BE49-F238E27FC236}">
              <a16:creationId xmlns:a16="http://schemas.microsoft.com/office/drawing/2014/main" id="{D1F106EF-CBB6-6EB3-2D3F-2C3D84EDCC54}"/>
            </a:ext>
          </a:extLst>
        </xdr:cNvPr>
        <xdr:cNvSpPr/>
      </xdr:nvSpPr>
      <xdr:spPr>
        <a:xfrm>
          <a:off x="10214066" y="129159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124097</xdr:colOff>
      <xdr:row>7</xdr:row>
      <xdr:rowOff>76200</xdr:rowOff>
    </xdr:to>
    <xdr:cxnSp macro="">
      <xdr:nvCxnSpPr>
        <xdr:cNvPr id="62116" name="직선 화살표 연결선 62115">
          <a:extLst>
            <a:ext uri="{FF2B5EF4-FFF2-40B4-BE49-F238E27FC236}">
              <a16:creationId xmlns:a16="http://schemas.microsoft.com/office/drawing/2014/main" id="{4C4B40CE-38BC-8C71-98BA-EEA8CDF2E8EA}"/>
            </a:ext>
          </a:extLst>
        </xdr:cNvPr>
        <xdr:cNvCxnSpPr/>
      </xdr:nvCxnSpPr>
      <xdr:spPr>
        <a:xfrm>
          <a:off x="10214066" y="134874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xdr:row>
      <xdr:rowOff>19050</xdr:rowOff>
    </xdr:from>
    <xdr:to>
      <xdr:col>31</xdr:col>
      <xdr:colOff>42635</xdr:colOff>
      <xdr:row>6</xdr:row>
      <xdr:rowOff>133350</xdr:rowOff>
    </xdr:to>
    <xdr:sp macro="" textlink="">
      <xdr:nvSpPr>
        <xdr:cNvPr id="62127" name="3">
          <a:extLst>
            <a:ext uri="{FF2B5EF4-FFF2-40B4-BE49-F238E27FC236}">
              <a16:creationId xmlns:a16="http://schemas.microsoft.com/office/drawing/2014/main" id="{47F6A541-2DBD-96BF-950A-0A24C7070D4A}"/>
            </a:ext>
          </a:extLst>
        </xdr:cNvPr>
        <xdr:cNvSpPr/>
      </xdr:nvSpPr>
      <xdr:spPr>
        <a:xfrm>
          <a:off x="10193383" y="1139190"/>
          <a:ext cx="2195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xdr:row>
      <xdr:rowOff>76200</xdr:rowOff>
    </xdr:from>
    <xdr:to>
      <xdr:col>31</xdr:col>
      <xdr:colOff>41366</xdr:colOff>
      <xdr:row>6</xdr:row>
      <xdr:rowOff>76200</xdr:rowOff>
    </xdr:to>
    <xdr:cxnSp macro="">
      <xdr:nvCxnSpPr>
        <xdr:cNvPr id="62128" name="직선 화살표 연결선 62127">
          <a:extLst>
            <a:ext uri="{FF2B5EF4-FFF2-40B4-BE49-F238E27FC236}">
              <a16:creationId xmlns:a16="http://schemas.microsoft.com/office/drawing/2014/main" id="{5FF0DCD6-002C-B116-1871-8A6DDD9561DD}"/>
            </a:ext>
          </a:extLst>
        </xdr:cNvPr>
        <xdr:cNvCxnSpPr/>
      </xdr:nvCxnSpPr>
      <xdr:spPr>
        <a:xfrm>
          <a:off x="10193383"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32</xdr:col>
      <xdr:colOff>1270</xdr:colOff>
      <xdr:row>5</xdr:row>
      <xdr:rowOff>133350</xdr:rowOff>
    </xdr:to>
    <xdr:sp macro="" textlink="">
      <xdr:nvSpPr>
        <xdr:cNvPr id="62129" name="2">
          <a:extLst>
            <a:ext uri="{FF2B5EF4-FFF2-40B4-BE49-F238E27FC236}">
              <a16:creationId xmlns:a16="http://schemas.microsoft.com/office/drawing/2014/main" id="{1FF836AB-0A83-ED62-7504-C40B4CE49C75}"/>
            </a:ext>
          </a:extLst>
        </xdr:cNvPr>
        <xdr:cNvSpPr/>
      </xdr:nvSpPr>
      <xdr:spPr>
        <a:xfrm>
          <a:off x="10193383" y="986790"/>
          <a:ext cx="12536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32</xdr:col>
      <xdr:colOff>0</xdr:colOff>
      <xdr:row>5</xdr:row>
      <xdr:rowOff>76200</xdr:rowOff>
    </xdr:to>
    <xdr:cxnSp macro="">
      <xdr:nvCxnSpPr>
        <xdr:cNvPr id="62130" name="직선 화살표 연결선 62129">
          <a:extLst>
            <a:ext uri="{FF2B5EF4-FFF2-40B4-BE49-F238E27FC236}">
              <a16:creationId xmlns:a16="http://schemas.microsoft.com/office/drawing/2014/main" id="{CA82CE46-F355-A0B9-323D-F0DEF32AB3C1}"/>
            </a:ext>
          </a:extLst>
        </xdr:cNvPr>
        <xdr:cNvCxnSpPr/>
      </xdr:nvCxnSpPr>
      <xdr:spPr>
        <a:xfrm>
          <a:off x="10193383" y="104394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44</xdr:col>
      <xdr:colOff>1271</xdr:colOff>
      <xdr:row>4</xdr:row>
      <xdr:rowOff>133350</xdr:rowOff>
    </xdr:to>
    <xdr:sp macro="" textlink="">
      <xdr:nvSpPr>
        <xdr:cNvPr id="62131" name="1">
          <a:extLst>
            <a:ext uri="{FF2B5EF4-FFF2-40B4-BE49-F238E27FC236}">
              <a16:creationId xmlns:a16="http://schemas.microsoft.com/office/drawing/2014/main" id="{446D3EB6-337F-23C6-6B25-0A79BB3B32BD}"/>
            </a:ext>
          </a:extLst>
        </xdr:cNvPr>
        <xdr:cNvSpPr/>
      </xdr:nvSpPr>
      <xdr:spPr>
        <a:xfrm>
          <a:off x="10193383" y="834390"/>
          <a:ext cx="186272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32</xdr:col>
      <xdr:colOff>86193</xdr:colOff>
      <xdr:row>4</xdr:row>
      <xdr:rowOff>76200</xdr:rowOff>
    </xdr:to>
    <xdr:cxnSp macro="">
      <xdr:nvCxnSpPr>
        <xdr:cNvPr id="62132" name="직선 화살표 연결선 62131">
          <a:extLst>
            <a:ext uri="{FF2B5EF4-FFF2-40B4-BE49-F238E27FC236}">
              <a16:creationId xmlns:a16="http://schemas.microsoft.com/office/drawing/2014/main" id="{4112214C-CB1B-6094-5FAC-91AF40875939}"/>
            </a:ext>
          </a:extLst>
        </xdr:cNvPr>
        <xdr:cNvCxnSpPr/>
      </xdr:nvCxnSpPr>
      <xdr:spPr>
        <a:xfrm>
          <a:off x="10193383" y="891540"/>
          <a:ext cx="2102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topLeftCell="A5" zoomScale="90" zoomScaleNormal="90" workbookViewId="0">
      <selection activeCell="L18" sqref="L18"/>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9" t="s">
        <v>1401</v>
      </c>
      <c r="B1" s="220"/>
      <c r="C1" s="220"/>
      <c r="D1" s="220"/>
      <c r="E1" s="220"/>
      <c r="F1" s="220"/>
      <c r="G1" s="220"/>
      <c r="H1" s="113"/>
      <c r="I1" s="113"/>
      <c r="J1" s="223" t="s">
        <v>745</v>
      </c>
      <c r="K1" s="224"/>
      <c r="L1" s="224"/>
    </row>
    <row r="2" spans="1:12" s="32" customFormat="1" ht="33.75" customHeight="1">
      <c r="A2" s="221"/>
      <c r="B2" s="222"/>
      <c r="C2" s="222"/>
      <c r="D2" s="222"/>
      <c r="E2" s="222"/>
      <c r="F2" s="222"/>
      <c r="G2" s="222"/>
      <c r="H2" s="217" t="s">
        <v>1402</v>
      </c>
      <c r="I2" s="218"/>
      <c r="J2" s="218"/>
      <c r="K2" s="218"/>
      <c r="L2" s="218"/>
    </row>
    <row r="4" spans="1:12" ht="17.25" customHeight="1">
      <c r="B4" s="225" t="s">
        <v>1403</v>
      </c>
      <c r="C4" s="226"/>
      <c r="D4" s="226"/>
      <c r="E4" s="226"/>
      <c r="F4" s="226"/>
      <c r="G4" s="226"/>
      <c r="H4" s="226"/>
      <c r="I4" s="226"/>
      <c r="J4" s="226"/>
      <c r="K4" s="226"/>
      <c r="L4" s="226"/>
    </row>
    <row r="5" spans="1:12" ht="27.75" customHeight="1">
      <c r="B5" s="226"/>
      <c r="C5" s="226"/>
      <c r="D5" s="226"/>
      <c r="E5" s="226"/>
      <c r="F5" s="226"/>
      <c r="G5" s="226"/>
      <c r="H5" s="226"/>
      <c r="I5" s="226"/>
      <c r="J5" s="226"/>
      <c r="K5" s="226"/>
      <c r="L5" s="226"/>
    </row>
    <row r="6" spans="1:12" s="32" customFormat="1" ht="13.8">
      <c r="B6" s="80"/>
    </row>
    <row r="7" spans="1:12" s="32" customFormat="1" ht="18">
      <c r="B7" s="81" t="s">
        <v>1404</v>
      </c>
      <c r="D7" s="82"/>
    </row>
    <row r="8" spans="1:12" s="32" customFormat="1" ht="7.5" customHeight="1">
      <c r="B8" s="80"/>
    </row>
    <row r="9" spans="1:12" s="32" customFormat="1" ht="29.25" customHeight="1" thickBot="1">
      <c r="A9" s="83"/>
      <c r="B9" s="84" t="s">
        <v>449</v>
      </c>
      <c r="C9" s="83"/>
      <c r="D9" s="216" t="s">
        <v>1405</v>
      </c>
      <c r="E9" s="216"/>
      <c r="F9" s="216"/>
      <c r="G9" s="216"/>
      <c r="H9" s="216"/>
      <c r="I9" s="216"/>
      <c r="J9" s="216"/>
      <c r="K9" s="216"/>
      <c r="L9" s="216"/>
    </row>
    <row r="10" spans="1:12" s="32" customFormat="1" ht="29.25" customHeight="1" thickTop="1" thickBot="1">
      <c r="A10" s="83"/>
      <c r="B10" s="85" t="s">
        <v>450</v>
      </c>
      <c r="C10" s="83"/>
      <c r="D10" s="216" t="s">
        <v>1406</v>
      </c>
      <c r="E10" s="216"/>
      <c r="F10" s="216"/>
      <c r="G10" s="216"/>
      <c r="H10" s="216"/>
      <c r="I10" s="216"/>
      <c r="J10" s="216"/>
      <c r="K10" s="216"/>
      <c r="L10" s="216"/>
    </row>
    <row r="11" spans="1:12" s="32" customFormat="1" ht="29.25" customHeight="1" thickTop="1" thickBot="1">
      <c r="A11" s="83"/>
      <c r="B11" s="86" t="s">
        <v>451</v>
      </c>
      <c r="C11" s="83"/>
      <c r="D11" s="216" t="s">
        <v>1407</v>
      </c>
      <c r="E11" s="216"/>
      <c r="F11" s="216"/>
      <c r="G11" s="216"/>
      <c r="H11" s="216"/>
      <c r="I11" s="216"/>
      <c r="J11" s="216"/>
      <c r="K11" s="216"/>
      <c r="L11" s="216"/>
    </row>
    <row r="12" spans="1:12" s="32" customFormat="1" ht="29.25" customHeight="1" thickTop="1" thickBot="1">
      <c r="A12" s="83"/>
      <c r="B12" s="87" t="s">
        <v>452</v>
      </c>
      <c r="C12" s="83"/>
      <c r="D12" s="216" t="s">
        <v>1408</v>
      </c>
      <c r="E12" s="216"/>
      <c r="F12" s="216"/>
      <c r="G12" s="216"/>
      <c r="H12" s="216"/>
      <c r="I12" s="216"/>
      <c r="J12" s="216"/>
      <c r="K12" s="216"/>
      <c r="L12" s="216"/>
    </row>
    <row r="13" spans="1:12" s="32" customFormat="1" ht="29.25" customHeight="1" thickTop="1" thickBot="1">
      <c r="A13" s="83"/>
      <c r="B13" s="88" t="s">
        <v>541</v>
      </c>
      <c r="C13" s="83"/>
      <c r="D13" s="216" t="s">
        <v>1409</v>
      </c>
      <c r="E13" s="216"/>
      <c r="F13" s="216"/>
      <c r="G13" s="216"/>
      <c r="H13" s="216"/>
      <c r="I13" s="216"/>
      <c r="J13" s="216"/>
      <c r="K13" s="216"/>
      <c r="L13" s="216"/>
    </row>
    <row r="14" spans="1:12" s="32" customFormat="1" ht="29.25" customHeight="1" thickTop="1" thickBot="1">
      <c r="A14" s="83"/>
      <c r="B14" s="89" t="s">
        <v>453</v>
      </c>
      <c r="C14" s="83"/>
      <c r="D14" s="216" t="s">
        <v>1410</v>
      </c>
      <c r="E14" s="216"/>
      <c r="F14" s="216"/>
      <c r="G14" s="216"/>
      <c r="H14" s="216"/>
      <c r="I14" s="216"/>
      <c r="J14" s="216"/>
      <c r="K14" s="216"/>
      <c r="L14" s="216"/>
    </row>
    <row r="15" spans="1:12" ht="16.2" thickTop="1">
      <c r="A15" s="90"/>
      <c r="B15" s="91"/>
      <c r="C15" s="90"/>
      <c r="D15" s="92"/>
      <c r="E15" s="92"/>
      <c r="F15" s="92"/>
      <c r="G15" s="92"/>
      <c r="H15" s="92"/>
      <c r="I15" s="92"/>
      <c r="J15" s="92"/>
      <c r="K15" s="92"/>
      <c r="L15" s="92"/>
    </row>
    <row r="16" spans="1:12" s="32" customFormat="1" ht="18">
      <c r="B16" s="81" t="s">
        <v>1411</v>
      </c>
      <c r="D16" s="82"/>
    </row>
    <row r="17" spans="2:12" s="32" customFormat="1" ht="5.25" customHeight="1">
      <c r="B17" s="93"/>
      <c r="D17" s="82"/>
    </row>
    <row r="18" spans="2:12" s="32" customFormat="1" ht="26.25" customHeight="1" thickBot="1">
      <c r="B18" s="94" t="s">
        <v>1412</v>
      </c>
      <c r="D18" s="215" t="s">
        <v>1424</v>
      </c>
      <c r="E18" s="215"/>
      <c r="F18" s="215"/>
      <c r="G18" s="215"/>
      <c r="H18" s="215"/>
      <c r="I18" s="215"/>
      <c r="J18" s="215"/>
      <c r="K18" s="215"/>
      <c r="L18" s="101" t="s">
        <v>1436</v>
      </c>
    </row>
    <row r="19" spans="2:12" s="32" customFormat="1" ht="53.25" customHeight="1" thickTop="1" thickBot="1">
      <c r="B19" s="94" t="s">
        <v>563</v>
      </c>
      <c r="D19" s="215" t="s">
        <v>1425</v>
      </c>
      <c r="E19" s="215"/>
      <c r="F19" s="215"/>
      <c r="G19" s="215"/>
      <c r="H19" s="215"/>
      <c r="I19" s="215"/>
      <c r="J19" s="215"/>
      <c r="K19" s="215"/>
      <c r="L19" s="101" t="s">
        <v>1436</v>
      </c>
    </row>
    <row r="20" spans="2:12" s="32" customFormat="1" ht="26.25" customHeight="1" thickTop="1" thickBot="1">
      <c r="B20" s="94" t="s">
        <v>1413</v>
      </c>
      <c r="D20" s="215" t="s">
        <v>1426</v>
      </c>
      <c r="E20" s="215"/>
      <c r="F20" s="215"/>
      <c r="G20" s="215"/>
      <c r="H20" s="215"/>
      <c r="I20" s="215"/>
      <c r="J20" s="215"/>
      <c r="K20" s="215"/>
      <c r="L20" s="101" t="s">
        <v>1436</v>
      </c>
    </row>
    <row r="21" spans="2:12" s="32" customFormat="1" ht="26.25" customHeight="1" thickTop="1" thickBot="1">
      <c r="B21" s="94" t="s">
        <v>1414</v>
      </c>
      <c r="D21" s="215" t="s">
        <v>1427</v>
      </c>
      <c r="E21" s="215"/>
      <c r="F21" s="215"/>
      <c r="G21" s="215"/>
      <c r="H21" s="215"/>
      <c r="I21" s="215"/>
      <c r="J21" s="215"/>
      <c r="K21" s="215"/>
      <c r="L21" s="101" t="s">
        <v>1436</v>
      </c>
    </row>
    <row r="22" spans="2:12" s="32" customFormat="1" ht="33.75" customHeight="1" thickTop="1" thickBot="1">
      <c r="B22" s="94" t="s">
        <v>1415</v>
      </c>
      <c r="D22" s="215" t="s">
        <v>1428</v>
      </c>
      <c r="E22" s="215"/>
      <c r="F22" s="215"/>
      <c r="G22" s="215"/>
      <c r="H22" s="215"/>
      <c r="I22" s="215"/>
      <c r="J22" s="215"/>
      <c r="K22" s="215"/>
      <c r="L22" s="101" t="s">
        <v>1436</v>
      </c>
    </row>
    <row r="23" spans="2:12" s="32" customFormat="1" ht="52.5" customHeight="1" thickTop="1" thickBot="1">
      <c r="B23" s="94" t="s">
        <v>1416</v>
      </c>
      <c r="D23" s="215" t="s">
        <v>1429</v>
      </c>
      <c r="E23" s="215"/>
      <c r="F23" s="215"/>
      <c r="G23" s="215"/>
      <c r="H23" s="215"/>
      <c r="I23" s="215"/>
      <c r="J23" s="215"/>
      <c r="K23" s="215"/>
      <c r="L23" s="101" t="s">
        <v>1436</v>
      </c>
    </row>
    <row r="24" spans="2:12" s="32" customFormat="1" ht="47.25" customHeight="1" thickTop="1" thickBot="1">
      <c r="B24" s="94" t="s">
        <v>1417</v>
      </c>
      <c r="D24" s="215" t="s">
        <v>1430</v>
      </c>
      <c r="E24" s="215"/>
      <c r="F24" s="215"/>
      <c r="G24" s="215"/>
      <c r="H24" s="215"/>
      <c r="I24" s="215"/>
      <c r="J24" s="215"/>
      <c r="K24" s="215"/>
      <c r="L24" s="101" t="s">
        <v>1436</v>
      </c>
    </row>
    <row r="25" spans="2:12" s="32" customFormat="1" ht="33.75" customHeight="1" thickTop="1" thickBot="1">
      <c r="B25" s="94" t="s">
        <v>1418</v>
      </c>
      <c r="D25" s="215" t="s">
        <v>1431</v>
      </c>
      <c r="E25" s="215"/>
      <c r="F25" s="215"/>
      <c r="G25" s="215"/>
      <c r="H25" s="215"/>
      <c r="I25" s="215"/>
      <c r="J25" s="215"/>
      <c r="K25" s="215"/>
      <c r="L25" s="101" t="s">
        <v>1436</v>
      </c>
    </row>
    <row r="26" spans="2:12" s="32" customFormat="1" ht="53.25" customHeight="1" thickTop="1" thickBot="1">
      <c r="B26" s="94" t="s">
        <v>1419</v>
      </c>
      <c r="D26" s="215" t="s">
        <v>1432</v>
      </c>
      <c r="E26" s="215"/>
      <c r="F26" s="215"/>
      <c r="G26" s="215"/>
      <c r="H26" s="215"/>
      <c r="I26" s="215"/>
      <c r="J26" s="215"/>
      <c r="K26" s="215"/>
      <c r="L26" s="101" t="s">
        <v>1436</v>
      </c>
    </row>
    <row r="27" spans="2:12" s="32" customFormat="1" ht="35.25" customHeight="1" thickTop="1" thickBot="1">
      <c r="B27" s="94" t="s">
        <v>1420</v>
      </c>
      <c r="D27" s="215" t="s">
        <v>1433</v>
      </c>
      <c r="E27" s="215"/>
      <c r="F27" s="215"/>
      <c r="G27" s="215"/>
      <c r="H27" s="215"/>
      <c r="I27" s="215"/>
      <c r="J27" s="215"/>
      <c r="K27" s="215"/>
      <c r="L27" s="101" t="s">
        <v>1436</v>
      </c>
    </row>
    <row r="28" spans="2:12" s="32" customFormat="1" ht="43.5" customHeight="1" thickTop="1" thickBot="1">
      <c r="B28" s="94" t="s">
        <v>452</v>
      </c>
      <c r="D28" s="215" t="s">
        <v>1434</v>
      </c>
      <c r="E28" s="215"/>
      <c r="F28" s="215"/>
      <c r="G28" s="215"/>
      <c r="H28" s="215"/>
      <c r="I28" s="215"/>
      <c r="J28" s="215"/>
      <c r="K28" s="215"/>
      <c r="L28" s="101" t="s">
        <v>1436</v>
      </c>
    </row>
    <row r="29" spans="2:12" s="32" customFormat="1" ht="49.5" customHeight="1" thickTop="1" thickBot="1">
      <c r="B29" s="94" t="s">
        <v>1421</v>
      </c>
      <c r="D29" s="215" t="s">
        <v>1435</v>
      </c>
      <c r="E29" s="215"/>
      <c r="F29" s="215"/>
      <c r="G29" s="215"/>
      <c r="H29" s="215"/>
      <c r="I29" s="215"/>
      <c r="J29" s="215"/>
      <c r="K29" s="215"/>
      <c r="L29" s="101" t="s">
        <v>1436</v>
      </c>
    </row>
    <row r="30" spans="2:12" s="32" customFormat="1" ht="24.75" customHeight="1" thickTop="1" thickBot="1">
      <c r="B30" s="188" t="s">
        <v>1422</v>
      </c>
      <c r="D30" s="215" t="s">
        <v>1364</v>
      </c>
      <c r="E30" s="215"/>
      <c r="F30" s="215"/>
      <c r="G30" s="215"/>
      <c r="H30" s="215"/>
      <c r="I30" s="215"/>
      <c r="J30" s="215"/>
      <c r="K30" s="215"/>
      <c r="L30" s="101" t="s">
        <v>1436</v>
      </c>
    </row>
    <row r="31" spans="2:12" s="32" customFormat="1" ht="24.75" customHeight="1" thickTop="1" thickBot="1">
      <c r="B31" s="94" t="s">
        <v>1423</v>
      </c>
      <c r="D31" s="215" t="s">
        <v>1365</v>
      </c>
      <c r="E31" s="215"/>
      <c r="F31" s="215"/>
      <c r="G31" s="215"/>
      <c r="H31" s="215"/>
      <c r="I31" s="215"/>
      <c r="J31" s="215"/>
      <c r="K31" s="215"/>
      <c r="L31" s="101" t="s">
        <v>1436</v>
      </c>
    </row>
    <row r="32" spans="2:12" s="32" customFormat="1" ht="24.75" customHeight="1" thickTop="1" thickBot="1">
      <c r="B32" s="94" t="s">
        <v>1380</v>
      </c>
      <c r="D32" s="215" t="s">
        <v>1384</v>
      </c>
      <c r="E32" s="215"/>
      <c r="F32" s="215"/>
      <c r="G32" s="215"/>
      <c r="H32" s="215"/>
      <c r="I32" s="215"/>
      <c r="J32" s="215"/>
      <c r="K32" s="215"/>
      <c r="L32" s="101" t="s">
        <v>1436</v>
      </c>
    </row>
    <row r="33" spans="2:12" s="32" customFormat="1" ht="15"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27" t="s">
        <v>1438</v>
      </c>
      <c r="C35" s="227"/>
      <c r="D35" s="227"/>
      <c r="E35" s="227"/>
      <c r="F35" s="227"/>
      <c r="G35" s="227"/>
      <c r="H35" s="227"/>
      <c r="I35" s="227"/>
      <c r="J35" s="227"/>
      <c r="K35" s="227"/>
      <c r="L35" s="227"/>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Y57"/>
  <sheetViews>
    <sheetView tabSelected="1" zoomScaleNormal="100" zoomScaleSheetLayoutView="115" zoomScalePageLayoutView="55" workbookViewId="0">
      <pane ySplit="4" topLeftCell="A8"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129" width="1.8984375" style="119" customWidth="1"/>
    <col min="130" max="16384" width="10" style="119"/>
  </cols>
  <sheetData>
    <row r="1" spans="1:129" s="131" customFormat="1" ht="25.05" customHeight="1">
      <c r="A1" s="120"/>
      <c r="B1" s="121"/>
      <c r="C1" s="122"/>
      <c r="D1" s="153" t="str" cm="1">
        <f t="array" aca="1" ref="D1" ca="1">xlgantt.ProjectName()</f>
        <v>Recoder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2024-08-19~2024-11-16 [계획:12.97% 실적:11.30%]</v>
      </c>
      <c r="AF1" s="166" t="s">
        <v>1587</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9" s="131" customFormat="1" ht="15" customHeight="1">
      <c r="A2" s="132"/>
      <c r="B2" s="132"/>
      <c r="C2" s="133"/>
      <c r="D2" s="235"/>
      <c r="E2" s="235"/>
      <c r="F2" s="235"/>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0" t="s">
        <v>746</v>
      </c>
      <c r="AG2" s="230"/>
      <c r="AH2" s="230"/>
      <c r="AI2" s="230"/>
      <c r="AJ2" s="230" t="s">
        <v>1568</v>
      </c>
      <c r="AK2" s="230"/>
      <c r="AL2" s="230"/>
      <c r="AM2" s="230"/>
      <c r="AN2" s="230" t="s">
        <v>1569</v>
      </c>
      <c r="AO2" s="230"/>
      <c r="AP2" s="230"/>
      <c r="AQ2" s="230"/>
      <c r="AR2" s="230" t="s">
        <v>1492</v>
      </c>
      <c r="AS2" s="230"/>
      <c r="AT2" s="230"/>
      <c r="AU2" s="230"/>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row>
    <row r="3" spans="1:129" s="118" customFormat="1" ht="19.05" customHeight="1">
      <c r="A3" s="253" t="s">
        <v>461</v>
      </c>
      <c r="B3" s="255" t="s">
        <v>459</v>
      </c>
      <c r="C3" s="257" t="s">
        <v>462</v>
      </c>
      <c r="D3" s="258" t="s">
        <v>460</v>
      </c>
      <c r="E3" s="259" t="s">
        <v>1456</v>
      </c>
      <c r="F3" s="260"/>
      <c r="G3" s="260"/>
      <c r="H3" s="260"/>
      <c r="I3" s="260"/>
      <c r="J3" s="260"/>
      <c r="K3" s="260"/>
      <c r="L3" s="260"/>
      <c r="M3" s="260"/>
      <c r="N3" s="260"/>
      <c r="O3" s="238" t="s">
        <v>1457</v>
      </c>
      <c r="P3" s="238" t="s">
        <v>1458</v>
      </c>
      <c r="Q3" s="238" t="s">
        <v>1459</v>
      </c>
      <c r="R3" s="240" t="s">
        <v>636</v>
      </c>
      <c r="S3" s="242" t="s">
        <v>1460</v>
      </c>
      <c r="T3" s="248" t="s">
        <v>1461</v>
      </c>
      <c r="U3" s="242" t="s">
        <v>1462</v>
      </c>
      <c r="V3" s="242" t="s">
        <v>1463</v>
      </c>
      <c r="W3" s="250" t="s">
        <v>1464</v>
      </c>
      <c r="X3" s="250" t="s">
        <v>1465</v>
      </c>
      <c r="Y3" s="244" t="s">
        <v>1466</v>
      </c>
      <c r="Z3" s="246" t="s">
        <v>1467</v>
      </c>
      <c r="AA3" s="236" t="s">
        <v>1468</v>
      </c>
      <c r="AB3" s="238" t="s">
        <v>1469</v>
      </c>
      <c r="AC3" s="240" t="s">
        <v>1470</v>
      </c>
      <c r="AD3" s="251" t="s">
        <v>1471</v>
      </c>
      <c r="AE3" s="233" t="s">
        <v>1472</v>
      </c>
      <c r="AF3" s="228" t="s">
        <v>1628</v>
      </c>
      <c r="AG3" s="229"/>
      <c r="AH3" s="229"/>
      <c r="AI3" s="229"/>
      <c r="AJ3" s="231" t="s">
        <v>1629</v>
      </c>
      <c r="AK3" s="229"/>
      <c r="AL3" s="229"/>
      <c r="AM3" s="229"/>
      <c r="AN3" s="231" t="s">
        <v>1630</v>
      </c>
      <c r="AO3" s="229"/>
      <c r="AP3" s="229"/>
      <c r="AQ3" s="229"/>
      <c r="AR3" s="231" t="s">
        <v>1631</v>
      </c>
      <c r="AS3" s="229"/>
      <c r="AT3" s="229"/>
      <c r="AU3" s="232"/>
    </row>
    <row r="4" spans="1:129" s="118" customFormat="1" ht="6" customHeight="1">
      <c r="A4" s="254"/>
      <c r="B4" s="256"/>
      <c r="C4" s="253"/>
      <c r="D4" s="241"/>
      <c r="E4" s="261"/>
      <c r="F4" s="260"/>
      <c r="G4" s="260"/>
      <c r="H4" s="260"/>
      <c r="I4" s="260"/>
      <c r="J4" s="260"/>
      <c r="K4" s="260"/>
      <c r="L4" s="260"/>
      <c r="M4" s="260"/>
      <c r="N4" s="260"/>
      <c r="O4" s="239"/>
      <c r="P4" s="239"/>
      <c r="Q4" s="239"/>
      <c r="R4" s="241"/>
      <c r="S4" s="243"/>
      <c r="T4" s="249"/>
      <c r="U4" s="243"/>
      <c r="V4" s="243"/>
      <c r="W4" s="239"/>
      <c r="X4" s="239"/>
      <c r="Y4" s="245"/>
      <c r="Z4" s="247"/>
      <c r="AA4" s="237"/>
      <c r="AB4" s="239"/>
      <c r="AC4" s="241"/>
      <c r="AD4" s="252"/>
      <c r="AE4" s="234"/>
      <c r="AF4" s="168">
        <v>45522</v>
      </c>
      <c r="AG4" s="169">
        <v>45529</v>
      </c>
      <c r="AH4" s="169">
        <v>45536</v>
      </c>
      <c r="AI4" s="169">
        <v>45543</v>
      </c>
      <c r="AJ4" s="169">
        <v>45550</v>
      </c>
      <c r="AK4" s="169">
        <v>45557</v>
      </c>
      <c r="AL4" s="169">
        <v>45564</v>
      </c>
      <c r="AM4" s="169">
        <v>45571</v>
      </c>
      <c r="AN4" s="169">
        <v>45578</v>
      </c>
      <c r="AO4" s="169">
        <v>45585</v>
      </c>
      <c r="AP4" s="169">
        <v>45592</v>
      </c>
      <c r="AQ4" s="169">
        <v>45599</v>
      </c>
      <c r="AR4" s="169">
        <v>45606</v>
      </c>
      <c r="AS4" s="169">
        <v>45613</v>
      </c>
      <c r="AT4" s="213"/>
      <c r="AU4" s="214"/>
      <c r="AV4" s="205"/>
      <c r="AW4" s="205"/>
      <c r="AX4" s="20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row>
    <row r="5" spans="1:129" ht="12" customHeight="1">
      <c r="A5" s="135"/>
      <c r="B5" s="135" t="s">
        <v>1373</v>
      </c>
      <c r="C5" s="135">
        <v>1</v>
      </c>
      <c r="D5" s="165" t="s">
        <v>499</v>
      </c>
      <c r="E5" s="136" t="s">
        <v>1588</v>
      </c>
      <c r="F5" s="136"/>
      <c r="G5" s="136"/>
      <c r="H5" s="136"/>
      <c r="I5" s="136"/>
      <c r="J5" s="136"/>
      <c r="K5" s="136"/>
      <c r="L5" s="136"/>
      <c r="M5" s="136"/>
      <c r="N5" s="136"/>
      <c r="O5" s="136"/>
      <c r="P5" s="137">
        <v>45523</v>
      </c>
      <c r="Q5" s="137">
        <v>45612</v>
      </c>
      <c r="R5" s="136"/>
      <c r="S5" s="138">
        <v>239</v>
      </c>
      <c r="T5" s="138">
        <v>31</v>
      </c>
      <c r="U5" s="138">
        <v>65</v>
      </c>
      <c r="V5" s="138">
        <v>11</v>
      </c>
      <c r="W5" s="137"/>
      <c r="X5" s="137"/>
      <c r="Y5" s="139">
        <v>0</v>
      </c>
      <c r="Z5" s="140">
        <v>0</v>
      </c>
      <c r="AA5" s="138"/>
      <c r="AB5" s="136"/>
      <c r="AC5" s="141"/>
      <c r="AD5" s="164">
        <v>0.1297071129707113</v>
      </c>
      <c r="AE5" s="274">
        <v>0.11297071129707113</v>
      </c>
      <c r="AF5" s="170"/>
      <c r="AG5" s="171" t="str">
        <f>"    " &amp; TEXT(AE5,"#0.00%") &amp; " "</f>
        <v xml:space="preserve">    11.30% </v>
      </c>
      <c r="AH5" s="171"/>
      <c r="AI5" s="171"/>
      <c r="AJ5" s="171"/>
      <c r="AK5" s="171"/>
      <c r="AL5" s="171"/>
      <c r="AM5" s="171"/>
      <c r="AN5" s="171"/>
      <c r="AO5" s="171"/>
      <c r="AP5" s="171"/>
      <c r="AQ5" s="171"/>
      <c r="AR5" s="171"/>
      <c r="AS5" s="171" t="str">
        <f>"" &amp; "시스템 개발" &amp; " " &amp; IF(P5="","",TEXT(P5,"M/D-")) &amp; IF(Q5="","",TEXT(Q5,"M/D")) &amp; " "</f>
        <v xml:space="preserve">시스템 개발 8/19-11/16 </v>
      </c>
      <c r="AT5" s="171"/>
      <c r="AU5" s="167"/>
    </row>
    <row r="6" spans="1:129" ht="12" customHeight="1" outlineLevel="1">
      <c r="A6" s="135"/>
      <c r="B6" s="135" t="s">
        <v>1373</v>
      </c>
      <c r="C6" s="135">
        <v>2</v>
      </c>
      <c r="D6" s="165" t="s">
        <v>545</v>
      </c>
      <c r="E6" s="136"/>
      <c r="F6" s="136" t="s">
        <v>1589</v>
      </c>
      <c r="G6" s="136"/>
      <c r="H6" s="136"/>
      <c r="I6" s="136"/>
      <c r="J6" s="136"/>
      <c r="K6" s="136"/>
      <c r="L6" s="136"/>
      <c r="M6" s="136"/>
      <c r="N6" s="136"/>
      <c r="O6" s="136"/>
      <c r="P6" s="137">
        <v>45523</v>
      </c>
      <c r="Q6" s="137">
        <v>45528</v>
      </c>
      <c r="R6" s="136"/>
      <c r="S6" s="138">
        <v>5</v>
      </c>
      <c r="T6" s="138">
        <v>5</v>
      </c>
      <c r="U6" s="138">
        <v>5</v>
      </c>
      <c r="V6" s="138">
        <v>5</v>
      </c>
      <c r="W6" s="137"/>
      <c r="X6" s="137"/>
      <c r="Y6" s="139">
        <v>0</v>
      </c>
      <c r="Z6" s="140">
        <v>0</v>
      </c>
      <c r="AA6" s="138"/>
      <c r="AB6" s="136"/>
      <c r="AC6" s="141"/>
      <c r="AD6" s="164">
        <v>1</v>
      </c>
      <c r="AE6" s="202">
        <v>1</v>
      </c>
      <c r="AF6" s="170"/>
      <c r="AG6" s="171" t="str">
        <f>"" &amp; TEXT(AE6,"#0.00%") &amp; " " &amp; "분석" &amp; " " &amp; IF(P6="","",TEXT(P6,"M/D-")) &amp; IF(Q6="","",TEXT(Q6,"M/D")) &amp; " "</f>
        <v xml:space="preserve">100.00% 분석 8/19-8/24 </v>
      </c>
      <c r="AH6" s="171"/>
      <c r="AI6" s="171"/>
      <c r="AJ6" s="171"/>
      <c r="AK6" s="171"/>
      <c r="AL6" s="171"/>
      <c r="AM6" s="171"/>
      <c r="AN6" s="171"/>
      <c r="AO6" s="171"/>
      <c r="AP6" s="171"/>
      <c r="AQ6" s="171"/>
      <c r="AR6" s="171"/>
      <c r="AS6" s="171"/>
      <c r="AT6" s="171"/>
    </row>
    <row r="7" spans="1:129" ht="12" customHeight="1" outlineLevel="2">
      <c r="A7" s="135"/>
      <c r="B7" s="135"/>
      <c r="C7" s="135">
        <v>3</v>
      </c>
      <c r="D7" s="165" t="s">
        <v>1484</v>
      </c>
      <c r="E7" s="136"/>
      <c r="F7" s="136"/>
      <c r="G7" s="136" t="s">
        <v>1590</v>
      </c>
      <c r="H7" s="136"/>
      <c r="I7" s="136"/>
      <c r="J7" s="136"/>
      <c r="K7" s="136"/>
      <c r="L7" s="136"/>
      <c r="M7" s="136"/>
      <c r="N7" s="136"/>
      <c r="O7" s="136"/>
      <c r="P7" s="137">
        <v>45523</v>
      </c>
      <c r="Q7" s="137">
        <v>45523</v>
      </c>
      <c r="R7" s="136"/>
      <c r="S7" s="138">
        <v>1</v>
      </c>
      <c r="T7" s="138">
        <v>1</v>
      </c>
      <c r="U7" s="138">
        <v>1</v>
      </c>
      <c r="V7" s="138">
        <v>1</v>
      </c>
      <c r="W7" s="137"/>
      <c r="X7" s="137"/>
      <c r="Y7" s="139"/>
      <c r="Z7" s="140">
        <v>0</v>
      </c>
      <c r="AA7" s="138"/>
      <c r="AB7" s="136" t="s">
        <v>1601</v>
      </c>
      <c r="AC7" s="141"/>
      <c r="AD7" s="164">
        <v>1</v>
      </c>
      <c r="AE7" s="172">
        <v>1</v>
      </c>
      <c r="AF7" s="170" t="str">
        <f>"  " &amp; TEXT(AE7,"#0.00%") &amp; " " &amp; "업무 분석" &amp; "(전체)" &amp; " " &amp; IF(P7="","",TEXT(P7,"M/D-")) &amp; IF(Q7="","",TEXT(Q7,"M/D")) &amp; " "</f>
        <v xml:space="preserve">  100.00% 업무 분석(전체) 8/19-8/19 </v>
      </c>
      <c r="AG7" s="171"/>
      <c r="AH7" s="171"/>
      <c r="AI7" s="171"/>
      <c r="AJ7" s="171"/>
      <c r="AK7" s="171"/>
      <c r="AL7" s="171"/>
      <c r="AM7" s="171"/>
      <c r="AN7" s="171"/>
      <c r="AO7" s="171"/>
      <c r="AP7" s="171"/>
      <c r="AQ7" s="171"/>
      <c r="AR7" s="171"/>
      <c r="AS7" s="171"/>
      <c r="AT7" s="171"/>
    </row>
    <row r="8" spans="1:129" ht="12" customHeight="1" outlineLevel="2">
      <c r="A8" s="135"/>
      <c r="B8" s="135"/>
      <c r="C8" s="135">
        <v>3</v>
      </c>
      <c r="D8" s="165" t="s">
        <v>1485</v>
      </c>
      <c r="E8" s="136"/>
      <c r="F8" s="136"/>
      <c r="G8" s="136" t="s">
        <v>1591</v>
      </c>
      <c r="H8" s="136"/>
      <c r="I8" s="136"/>
      <c r="J8" s="136"/>
      <c r="K8" s="136"/>
      <c r="L8" s="136"/>
      <c r="M8" s="136"/>
      <c r="N8" s="136"/>
      <c r="O8" s="136"/>
      <c r="P8" s="137">
        <v>45524</v>
      </c>
      <c r="Q8" s="137">
        <v>45527</v>
      </c>
      <c r="R8" s="136"/>
      <c r="S8" s="138">
        <v>4</v>
      </c>
      <c r="T8" s="138">
        <v>4</v>
      </c>
      <c r="U8" s="138">
        <v>4</v>
      </c>
      <c r="V8" s="138">
        <v>4</v>
      </c>
      <c r="W8" s="137"/>
      <c r="X8" s="137"/>
      <c r="Y8" s="139"/>
      <c r="Z8" s="140">
        <v>0</v>
      </c>
      <c r="AA8" s="138"/>
      <c r="AB8" s="136" t="s">
        <v>1601</v>
      </c>
      <c r="AC8" s="141"/>
      <c r="AD8" s="164">
        <v>1</v>
      </c>
      <c r="AE8" s="172">
        <v>1</v>
      </c>
      <c r="AF8" s="170" t="str">
        <f>"      " &amp; TEXT(AE8,"#0.00%") &amp; " " &amp; "요구사항 정의" &amp; "(전체)" &amp; " " &amp; IF(P8="","",TEXT(P8,"M/D-")) &amp; IF(Q8="","",TEXT(Q8,"M/D")) &amp; " "</f>
        <v xml:space="preserve">      100.00% 요구사항 정의(전체) 8/20-8/23 </v>
      </c>
      <c r="AG8" s="171"/>
      <c r="AH8" s="171"/>
      <c r="AI8" s="171"/>
      <c r="AJ8" s="171"/>
      <c r="AK8" s="171"/>
      <c r="AL8" s="171"/>
      <c r="AM8" s="171"/>
      <c r="AN8" s="171"/>
      <c r="AO8" s="171"/>
      <c r="AP8" s="171"/>
      <c r="AQ8" s="171"/>
      <c r="AR8" s="171"/>
      <c r="AS8" s="171"/>
      <c r="AT8" s="171"/>
    </row>
    <row r="9" spans="1:129" ht="12" customHeight="1" outlineLevel="2">
      <c r="A9" s="135"/>
      <c r="B9" s="135"/>
      <c r="C9" s="135">
        <v>3</v>
      </c>
      <c r="D9" s="165" t="s">
        <v>1632</v>
      </c>
      <c r="E9" s="136"/>
      <c r="F9" s="136"/>
      <c r="G9" s="136" t="s">
        <v>1592</v>
      </c>
      <c r="H9" s="136"/>
      <c r="I9" s="136"/>
      <c r="J9" s="136"/>
      <c r="K9" s="136"/>
      <c r="L9" s="136"/>
      <c r="M9" s="136"/>
      <c r="N9" s="136"/>
      <c r="O9" s="136"/>
      <c r="P9" s="137">
        <v>45528</v>
      </c>
      <c r="Q9" s="137">
        <v>45528</v>
      </c>
      <c r="R9" s="136"/>
      <c r="S9" s="138">
        <v>0</v>
      </c>
      <c r="T9" s="138">
        <v>0</v>
      </c>
      <c r="U9" s="138">
        <v>0</v>
      </c>
      <c r="V9" s="138">
        <v>0</v>
      </c>
      <c r="W9" s="137"/>
      <c r="X9" s="137"/>
      <c r="Y9" s="139"/>
      <c r="Z9" s="140">
        <v>0</v>
      </c>
      <c r="AA9" s="138"/>
      <c r="AB9" s="136" t="s">
        <v>1601</v>
      </c>
      <c r="AC9" s="141"/>
      <c r="AD9" s="164">
        <v>0</v>
      </c>
      <c r="AE9" s="203">
        <v>1</v>
      </c>
      <c r="AF9" s="170"/>
      <c r="AG9" s="171" t="str">
        <f>"" &amp; TEXT(AE9,"#0.00%") &amp; " " &amp; "요구사항 확정" &amp; "(전체)" &amp; " " &amp; IF(P9="","",TEXT(P9,"M/D-")) &amp; IF(Q9="","",TEXT(Q9,"M/D")) &amp; " "</f>
        <v xml:space="preserve">100.00% 요구사항 확정(전체) 8/24-8/24 </v>
      </c>
      <c r="AH9" s="171"/>
      <c r="AI9" s="171"/>
      <c r="AJ9" s="171"/>
      <c r="AK9" s="171"/>
      <c r="AL9" s="171"/>
      <c r="AM9" s="171"/>
      <c r="AN9" s="171"/>
      <c r="AO9" s="171"/>
      <c r="AP9" s="171"/>
      <c r="AQ9" s="171"/>
      <c r="AR9" s="171"/>
      <c r="AS9" s="171"/>
      <c r="AT9" s="171"/>
    </row>
    <row r="10" spans="1:129" ht="12" customHeight="1" outlineLevel="1">
      <c r="A10" s="135" t="s">
        <v>1570</v>
      </c>
      <c r="B10" s="135" t="s">
        <v>1373</v>
      </c>
      <c r="C10" s="135">
        <v>2</v>
      </c>
      <c r="D10" s="165" t="s">
        <v>1493</v>
      </c>
      <c r="E10" s="136"/>
      <c r="F10" s="136" t="s">
        <v>1593</v>
      </c>
      <c r="G10" s="136"/>
      <c r="H10" s="136"/>
      <c r="I10" s="136"/>
      <c r="J10" s="136"/>
      <c r="K10" s="136"/>
      <c r="L10" s="136"/>
      <c r="M10" s="136"/>
      <c r="N10" s="136"/>
      <c r="O10" s="136"/>
      <c r="P10" s="137">
        <v>45523</v>
      </c>
      <c r="Q10" s="137">
        <v>45536</v>
      </c>
      <c r="R10" s="136"/>
      <c r="S10" s="138">
        <v>15</v>
      </c>
      <c r="T10" s="138">
        <v>15</v>
      </c>
      <c r="U10" s="138">
        <v>10</v>
      </c>
      <c r="V10" s="138">
        <v>10</v>
      </c>
      <c r="W10" s="137"/>
      <c r="X10" s="137"/>
      <c r="Y10" s="139">
        <v>0</v>
      </c>
      <c r="Z10" s="140">
        <v>0</v>
      </c>
      <c r="AA10" s="138"/>
      <c r="AB10" s="136"/>
      <c r="AC10" s="141"/>
      <c r="AD10" s="164">
        <v>1</v>
      </c>
      <c r="AE10" s="202">
        <v>1</v>
      </c>
      <c r="AF10" s="170" t="str">
        <f>"     " &amp; TEXT(AE10,"#0.00%") &amp; " " &amp; "설계" &amp; " " &amp; IF(P10="","",TEXT(P10,"M/D-")) &amp; IF(Q10="","",TEXT(Q10,"M/D")) &amp; " "</f>
        <v xml:space="preserve">     100.00% 설계 8/19-9/1 </v>
      </c>
      <c r="AG10" s="171"/>
      <c r="AH10" s="171"/>
      <c r="AI10" s="171"/>
      <c r="AJ10" s="171"/>
      <c r="AK10" s="171"/>
      <c r="AL10" s="171"/>
      <c r="AM10" s="171"/>
      <c r="AN10" s="171"/>
      <c r="AO10" s="171"/>
      <c r="AP10" s="171"/>
      <c r="AQ10" s="171"/>
      <c r="AR10" s="171"/>
      <c r="AS10" s="171"/>
      <c r="AT10" s="171"/>
    </row>
    <row r="11" spans="1:129" ht="12" customHeight="1" outlineLevel="2">
      <c r="A11" s="135"/>
      <c r="B11" s="135"/>
      <c r="C11" s="135">
        <v>3</v>
      </c>
      <c r="D11" s="165" t="s">
        <v>1487</v>
      </c>
      <c r="E11" s="136"/>
      <c r="F11" s="136"/>
      <c r="G11" s="136" t="s">
        <v>1594</v>
      </c>
      <c r="H11" s="136"/>
      <c r="I11" s="136"/>
      <c r="J11" s="136"/>
      <c r="K11" s="136"/>
      <c r="L11" s="136"/>
      <c r="M11" s="136"/>
      <c r="N11" s="136"/>
      <c r="O11" s="136"/>
      <c r="P11" s="137">
        <v>45529</v>
      </c>
      <c r="Q11" s="137">
        <v>45536</v>
      </c>
      <c r="R11" s="136"/>
      <c r="S11" s="138">
        <v>5</v>
      </c>
      <c r="T11" s="138">
        <v>5</v>
      </c>
      <c r="U11" s="138">
        <v>5</v>
      </c>
      <c r="V11" s="138">
        <v>5</v>
      </c>
      <c r="W11" s="137"/>
      <c r="X11" s="137"/>
      <c r="Y11" s="139"/>
      <c r="Z11" s="140">
        <v>0</v>
      </c>
      <c r="AA11" s="138"/>
      <c r="AB11" s="136" t="s">
        <v>1602</v>
      </c>
      <c r="AC11" s="141"/>
      <c r="AD11" s="164">
        <v>1</v>
      </c>
      <c r="AE11" s="172">
        <v>1</v>
      </c>
      <c r="AF11" s="170"/>
      <c r="AG11" s="171"/>
      <c r="AH11" s="171" t="str">
        <f>" " &amp; TEXT(AE11,"#0.00%") &amp; " " &amp; "DB 설계" &amp; "(김명준)" &amp; " " &amp; IF(P11="","",TEXT(P11,"M/D-")) &amp; IF(Q11="","",TEXT(Q11,"M/D")) &amp; " "</f>
        <v xml:space="preserve"> 100.00% DB 설계(김명준) 8/25-9/1 </v>
      </c>
      <c r="AI11" s="171"/>
      <c r="AJ11" s="171"/>
      <c r="AK11" s="171"/>
      <c r="AL11" s="171"/>
      <c r="AM11" s="171"/>
      <c r="AN11" s="171"/>
      <c r="AO11" s="171"/>
      <c r="AP11" s="171"/>
      <c r="AQ11" s="171"/>
      <c r="AR11" s="171"/>
      <c r="AS11" s="171"/>
      <c r="AT11" s="171"/>
    </row>
    <row r="12" spans="1:129" ht="12" customHeight="1" outlineLevel="2">
      <c r="A12" s="135"/>
      <c r="B12" s="135"/>
      <c r="C12" s="135">
        <v>3</v>
      </c>
      <c r="D12" s="165" t="s">
        <v>1488</v>
      </c>
      <c r="E12" s="136"/>
      <c r="F12" s="136"/>
      <c r="G12" s="136" t="s">
        <v>1595</v>
      </c>
      <c r="H12" s="136"/>
      <c r="I12" s="136"/>
      <c r="J12" s="136"/>
      <c r="K12" s="136"/>
      <c r="L12" s="136"/>
      <c r="M12" s="136"/>
      <c r="N12" s="136"/>
      <c r="O12" s="136"/>
      <c r="P12" s="137">
        <v>45535</v>
      </c>
      <c r="Q12" s="137">
        <v>45536</v>
      </c>
      <c r="R12" s="136"/>
      <c r="S12" s="138">
        <v>0</v>
      </c>
      <c r="T12" s="138">
        <v>0</v>
      </c>
      <c r="U12" s="138">
        <v>0</v>
      </c>
      <c r="V12" s="138">
        <v>0</v>
      </c>
      <c r="W12" s="137"/>
      <c r="X12" s="137"/>
      <c r="Y12" s="139"/>
      <c r="Z12" s="140">
        <v>0</v>
      </c>
      <c r="AA12" s="138"/>
      <c r="AB12" s="136" t="s">
        <v>1602</v>
      </c>
      <c r="AC12" s="141"/>
      <c r="AD12" s="164">
        <v>0</v>
      </c>
      <c r="AE12" s="203">
        <v>1</v>
      </c>
      <c r="AF12" s="170"/>
      <c r="AG12" s="171"/>
      <c r="AH12" s="171" t="str">
        <f>" " &amp; TEXT(AE12,"#0.00%") &amp; " " &amp; "프로그램 설계" &amp; "(김명준)" &amp; " " &amp; IF(P12="","",TEXT(P12,"M/D-")) &amp; IF(Q12="","",TEXT(Q12,"M/D")) &amp; " "</f>
        <v xml:space="preserve"> 100.00% 프로그램 설계(김명준) 8/31-9/1 </v>
      </c>
      <c r="AI12" s="171"/>
      <c r="AJ12" s="171"/>
      <c r="AK12" s="171"/>
      <c r="AL12" s="171"/>
      <c r="AM12" s="171"/>
      <c r="AN12" s="171"/>
      <c r="AO12" s="171"/>
      <c r="AP12" s="171"/>
      <c r="AQ12" s="171"/>
      <c r="AR12" s="171"/>
      <c r="AS12" s="171"/>
      <c r="AT12" s="171"/>
    </row>
    <row r="13" spans="1:129" ht="12" customHeight="1" outlineLevel="2">
      <c r="A13" s="135"/>
      <c r="B13" s="135"/>
      <c r="C13" s="135">
        <v>3</v>
      </c>
      <c r="D13" s="165" t="s">
        <v>1507</v>
      </c>
      <c r="E13" s="136"/>
      <c r="F13" s="136"/>
      <c r="G13" s="136" t="s">
        <v>1521</v>
      </c>
      <c r="H13" s="136"/>
      <c r="I13" s="136"/>
      <c r="J13" s="136"/>
      <c r="K13" s="136"/>
      <c r="L13" s="136"/>
      <c r="M13" s="136"/>
      <c r="N13" s="136"/>
      <c r="O13" s="136"/>
      <c r="P13" s="137">
        <v>45523</v>
      </c>
      <c r="Q13" s="137">
        <v>45535</v>
      </c>
      <c r="R13" s="136"/>
      <c r="S13" s="138">
        <v>10</v>
      </c>
      <c r="T13" s="138">
        <v>10</v>
      </c>
      <c r="U13" s="138">
        <v>10</v>
      </c>
      <c r="V13" s="138">
        <v>10</v>
      </c>
      <c r="W13" s="137"/>
      <c r="X13" s="137"/>
      <c r="Y13" s="139"/>
      <c r="Z13" s="140">
        <v>0</v>
      </c>
      <c r="AA13" s="138"/>
      <c r="AB13" s="136" t="s">
        <v>1603</v>
      </c>
      <c r="AC13" s="141"/>
      <c r="AD13" s="164">
        <v>1</v>
      </c>
      <c r="AE13" s="172">
        <v>1</v>
      </c>
      <c r="AF13" s="170"/>
      <c r="AG13" s="171"/>
      <c r="AH13" s="171" t="str">
        <f>"" &amp; TEXT(AE13,"#0.00%") &amp; " " &amp; "UI 설계" &amp; "(조서윤)" &amp; " " &amp; IF(P13="","",TEXT(P13,"M/D-")) &amp; IF(Q13="","",TEXT(Q13,"M/D")) &amp; " "</f>
        <v xml:space="preserve">100.00% UI 설계(조서윤) 8/19-8/31 </v>
      </c>
      <c r="AI13" s="171"/>
      <c r="AJ13" s="171"/>
      <c r="AK13" s="171"/>
      <c r="AL13" s="171"/>
      <c r="AM13" s="171"/>
      <c r="AN13" s="171"/>
      <c r="AO13" s="171"/>
      <c r="AP13" s="171"/>
      <c r="AQ13" s="171"/>
      <c r="AR13" s="171"/>
      <c r="AS13" s="171"/>
      <c r="AT13" s="171"/>
    </row>
    <row r="14" spans="1:129" ht="12" customHeight="1" outlineLevel="1">
      <c r="A14" s="135"/>
      <c r="B14" s="135" t="s">
        <v>1373</v>
      </c>
      <c r="C14" s="135">
        <v>2</v>
      </c>
      <c r="D14" s="165" t="s">
        <v>1494</v>
      </c>
      <c r="E14" s="136"/>
      <c r="F14" s="136" t="s">
        <v>1596</v>
      </c>
      <c r="G14" s="136"/>
      <c r="H14" s="136"/>
      <c r="I14" s="136"/>
      <c r="J14" s="136"/>
      <c r="K14" s="136"/>
      <c r="L14" s="136"/>
      <c r="M14" s="136"/>
      <c r="N14" s="136"/>
      <c r="O14" s="136"/>
      <c r="P14" s="137">
        <v>45535</v>
      </c>
      <c r="Q14" s="137">
        <v>45565</v>
      </c>
      <c r="R14" s="136"/>
      <c r="S14" s="138">
        <v>207</v>
      </c>
      <c r="T14" s="138">
        <v>11</v>
      </c>
      <c r="U14" s="138">
        <v>21</v>
      </c>
      <c r="V14" s="138">
        <v>1</v>
      </c>
      <c r="W14" s="137"/>
      <c r="X14" s="137"/>
      <c r="Y14" s="139">
        <v>0</v>
      </c>
      <c r="Z14" s="140">
        <v>0</v>
      </c>
      <c r="AA14" s="138"/>
      <c r="AB14" s="136"/>
      <c r="AC14" s="141"/>
      <c r="AD14" s="164">
        <v>5.3140096618357488E-2</v>
      </c>
      <c r="AE14" s="274">
        <v>3.3816425120772944E-2</v>
      </c>
      <c r="AF14" s="170"/>
      <c r="AG14" s="171"/>
      <c r="AH14" s="171" t="str">
        <f>"" &amp; TEXT(AE14,"#0.00%") &amp; " "</f>
        <v xml:space="preserve">3.38% </v>
      </c>
      <c r="AI14" s="171"/>
      <c r="AJ14" s="171"/>
      <c r="AK14" s="171"/>
      <c r="AL14" s="171" t="str">
        <f>"  " &amp; "개발" &amp; " " &amp; IF(P14="","",TEXT(P14,"M/D-")) &amp; IF(Q14="","",TEXT(Q14,"M/D")) &amp; " "</f>
        <v xml:space="preserve">  개발 8/31-9/30 </v>
      </c>
      <c r="AM14" s="171"/>
      <c r="AN14" s="171"/>
      <c r="AO14" s="171"/>
      <c r="AP14" s="171"/>
      <c r="AQ14" s="171"/>
      <c r="AR14" s="171"/>
      <c r="AS14" s="171"/>
      <c r="AT14" s="171"/>
    </row>
    <row r="15" spans="1:129" ht="12" customHeight="1" outlineLevel="2">
      <c r="A15" s="135">
        <v>0</v>
      </c>
      <c r="B15" s="135" t="s">
        <v>1373</v>
      </c>
      <c r="C15" s="135">
        <v>3</v>
      </c>
      <c r="D15" s="165" t="s">
        <v>1489</v>
      </c>
      <c r="E15" s="136"/>
      <c r="F15" s="136"/>
      <c r="G15" s="136" t="s">
        <v>1597</v>
      </c>
      <c r="H15" s="136"/>
      <c r="I15" s="136"/>
      <c r="J15" s="136"/>
      <c r="K15" s="136"/>
      <c r="L15" s="136"/>
      <c r="M15" s="136"/>
      <c r="N15" s="136"/>
      <c r="O15" s="136"/>
      <c r="P15" s="137">
        <v>45535</v>
      </c>
      <c r="Q15" s="137">
        <v>45565</v>
      </c>
      <c r="R15" s="136"/>
      <c r="S15" s="138">
        <v>207</v>
      </c>
      <c r="T15" s="138">
        <v>11</v>
      </c>
      <c r="U15" s="138">
        <v>21</v>
      </c>
      <c r="V15" s="138">
        <v>1</v>
      </c>
      <c r="W15" s="137"/>
      <c r="X15" s="137"/>
      <c r="Y15" s="139">
        <v>0</v>
      </c>
      <c r="Z15" s="140">
        <v>0</v>
      </c>
      <c r="AA15" s="138"/>
      <c r="AB15" s="136"/>
      <c r="AC15" s="141"/>
      <c r="AD15" s="164">
        <v>5.3140096618357488E-2</v>
      </c>
      <c r="AE15" s="274">
        <v>3.3816425120772944E-2</v>
      </c>
      <c r="AF15" s="170"/>
      <c r="AG15" s="171"/>
      <c r="AH15" s="171" t="str">
        <f>"" &amp; TEXT(AE15,"#0.00%") &amp; " "</f>
        <v xml:space="preserve">3.38% </v>
      </c>
      <c r="AI15" s="171"/>
      <c r="AJ15" s="171"/>
      <c r="AK15" s="171"/>
      <c r="AL15" s="171" t="str">
        <f>"  " &amp; "프로그램 코딩" &amp; " " &amp; IF(P15="","",TEXT(P15,"M/D-")) &amp; IF(Q15="","",TEXT(Q15,"M/D")) &amp; " "</f>
        <v xml:space="preserve">  프로그램 코딩 8/31-9/30 </v>
      </c>
      <c r="AM15" s="171"/>
      <c r="AN15" s="171"/>
      <c r="AO15" s="171"/>
      <c r="AP15" s="171"/>
      <c r="AQ15" s="171"/>
      <c r="AR15" s="171"/>
      <c r="AS15" s="171"/>
      <c r="AT15" s="171"/>
    </row>
    <row r="16" spans="1:129" ht="12" customHeight="1" outlineLevel="3">
      <c r="A16" s="135"/>
      <c r="B16" s="135" t="s">
        <v>1373</v>
      </c>
      <c r="C16" s="135">
        <v>4</v>
      </c>
      <c r="D16" s="165" t="s">
        <v>1633</v>
      </c>
      <c r="E16" s="136"/>
      <c r="F16" s="136"/>
      <c r="G16" s="136"/>
      <c r="H16" s="136" t="s">
        <v>1600</v>
      </c>
      <c r="I16" s="136"/>
      <c r="J16" s="136"/>
      <c r="K16" s="136"/>
      <c r="L16" s="136"/>
      <c r="M16" s="136"/>
      <c r="N16" s="136"/>
      <c r="O16" s="136"/>
      <c r="P16" s="137">
        <v>45536</v>
      </c>
      <c r="Q16" s="137">
        <v>45565</v>
      </c>
      <c r="R16" s="136"/>
      <c r="S16" s="138">
        <v>157</v>
      </c>
      <c r="T16" s="138">
        <v>6</v>
      </c>
      <c r="U16" s="138">
        <v>21</v>
      </c>
      <c r="V16" s="138">
        <v>1</v>
      </c>
      <c r="W16" s="137"/>
      <c r="X16" s="137"/>
      <c r="Y16" s="139">
        <v>0</v>
      </c>
      <c r="Z16" s="140">
        <v>0</v>
      </c>
      <c r="AA16" s="138"/>
      <c r="AB16" s="136"/>
      <c r="AC16" s="141"/>
      <c r="AD16" s="164">
        <v>3.8216560509554139E-2</v>
      </c>
      <c r="AE16" s="275">
        <v>4.4585987261146494E-2</v>
      </c>
      <c r="AF16" s="170"/>
      <c r="AG16" s="171"/>
      <c r="AH16" s="171" t="str">
        <f>" " &amp; TEXT(AE16,"#0.00%") &amp; " "</f>
        <v xml:space="preserve"> 4.46% </v>
      </c>
      <c r="AI16" s="171"/>
      <c r="AJ16" s="171"/>
      <c r="AK16" s="171"/>
      <c r="AL16" s="171" t="str">
        <f>"  " &amp; "안드로이드" &amp; " " &amp; IF(P16="","",TEXT(P16,"M/D-")) &amp; IF(Q16="","",TEXT(Q16,"M/D")) &amp; " "</f>
        <v xml:space="preserve">  안드로이드 9/1-9/30 </v>
      </c>
      <c r="AM16" s="171"/>
      <c r="AN16" s="171"/>
      <c r="AO16" s="171"/>
      <c r="AP16" s="171"/>
      <c r="AQ16" s="171"/>
      <c r="AR16" s="171"/>
      <c r="AS16" s="171"/>
      <c r="AT16" s="171"/>
    </row>
    <row r="17" spans="1:46" ht="12" customHeight="1" outlineLevel="4">
      <c r="A17" s="135"/>
      <c r="B17" s="135"/>
      <c r="C17" s="135">
        <v>5</v>
      </c>
      <c r="D17" s="165" t="s">
        <v>1634</v>
      </c>
      <c r="E17" s="136"/>
      <c r="F17" s="136"/>
      <c r="G17" s="136"/>
      <c r="H17" s="136"/>
      <c r="I17" s="136" t="s">
        <v>1604</v>
      </c>
      <c r="J17" s="136"/>
      <c r="K17" s="136"/>
      <c r="L17" s="136"/>
      <c r="M17" s="136"/>
      <c r="N17" s="136"/>
      <c r="O17" s="136"/>
      <c r="P17" s="137">
        <v>45536</v>
      </c>
      <c r="Q17" s="137">
        <v>45559</v>
      </c>
      <c r="R17" s="136"/>
      <c r="S17" s="138">
        <v>17</v>
      </c>
      <c r="T17" s="138">
        <v>1</v>
      </c>
      <c r="U17" s="138">
        <v>17</v>
      </c>
      <c r="V17" s="138">
        <v>1</v>
      </c>
      <c r="W17" s="137"/>
      <c r="X17" s="137"/>
      <c r="Y17" s="139"/>
      <c r="Z17" s="140">
        <v>0</v>
      </c>
      <c r="AA17" s="138"/>
      <c r="AB17" s="136" t="s">
        <v>1612</v>
      </c>
      <c r="AC17" s="141"/>
      <c r="AD17" s="164">
        <v>5.8823529411764705E-2</v>
      </c>
      <c r="AE17" s="273">
        <v>0</v>
      </c>
      <c r="AF17" s="170"/>
      <c r="AG17" s="171"/>
      <c r="AH17" s="171" t="str">
        <f>"" &amp; TEXT(AE17,"#0.00%") &amp; " "</f>
        <v xml:space="preserve">0.00% </v>
      </c>
      <c r="AI17" s="171"/>
      <c r="AJ17" s="171"/>
      <c r="AK17" s="171" t="str">
        <f>"   " &amp; "로컬 데이터베이스 개발" &amp; "(이동현)" &amp; " " &amp; IF(P17="","",TEXT(P17,"M/D-")) &amp; IF(Q17="","",TEXT(Q17,"M/D")) &amp; " "</f>
        <v xml:space="preserve">   로컬 데이터베이스 개발(이동현) 9/1-9/24 </v>
      </c>
      <c r="AL17" s="171"/>
      <c r="AM17" s="171"/>
      <c r="AN17" s="171"/>
      <c r="AO17" s="171"/>
      <c r="AP17" s="171"/>
      <c r="AQ17" s="171"/>
      <c r="AR17" s="171"/>
      <c r="AS17" s="171"/>
      <c r="AT17" s="171"/>
    </row>
    <row r="18" spans="1:46" ht="12" customHeight="1" outlineLevel="4">
      <c r="A18" s="135"/>
      <c r="B18" s="135" t="s">
        <v>1373</v>
      </c>
      <c r="C18" s="135">
        <v>5</v>
      </c>
      <c r="D18" s="165" t="s">
        <v>1635</v>
      </c>
      <c r="E18" s="136"/>
      <c r="F18" s="136"/>
      <c r="G18" s="136"/>
      <c r="H18" s="136"/>
      <c r="I18" s="136" t="s">
        <v>1611</v>
      </c>
      <c r="J18" s="136"/>
      <c r="K18" s="136"/>
      <c r="L18" s="136"/>
      <c r="M18" s="136"/>
      <c r="N18" s="136"/>
      <c r="O18" s="136"/>
      <c r="P18" s="137">
        <v>45551</v>
      </c>
      <c r="Q18" s="137">
        <v>45559</v>
      </c>
      <c r="R18" s="136"/>
      <c r="S18" s="138">
        <v>35</v>
      </c>
      <c r="T18" s="138">
        <v>0</v>
      </c>
      <c r="U18" s="138">
        <v>7</v>
      </c>
      <c r="V18" s="138">
        <v>0</v>
      </c>
      <c r="W18" s="137"/>
      <c r="X18" s="137"/>
      <c r="Y18" s="139">
        <v>0</v>
      </c>
      <c r="Z18" s="140">
        <v>0</v>
      </c>
      <c r="AA18" s="138"/>
      <c r="AB18" s="136"/>
      <c r="AC18" s="141"/>
      <c r="AD18" s="164">
        <v>0</v>
      </c>
      <c r="AE18" s="275">
        <v>0.2</v>
      </c>
      <c r="AF18" s="170"/>
      <c r="AG18" s="171"/>
      <c r="AH18" s="171"/>
      <c r="AI18" s="171"/>
      <c r="AJ18" s="171" t="str">
        <f>"   " &amp; TEXT(AE18,"#0.00%") &amp; " " &amp; "서버 연결(Retrofit)" &amp; " " &amp; IF(P18="","",TEXT(P18,"M/D-")) &amp; IF(Q18="","",TEXT(Q18,"M/D")) &amp; " "</f>
        <v xml:space="preserve">   20.00% 서버 연결(Retrofit) 9/16-9/24 </v>
      </c>
      <c r="AK18" s="171"/>
      <c r="AL18" s="171"/>
      <c r="AM18" s="171"/>
      <c r="AN18" s="171"/>
      <c r="AO18" s="171"/>
      <c r="AP18" s="171"/>
      <c r="AQ18" s="171"/>
      <c r="AR18" s="171"/>
      <c r="AS18" s="171"/>
      <c r="AT18" s="171"/>
    </row>
    <row r="19" spans="1:46" ht="12" customHeight="1" outlineLevel="5">
      <c r="A19" s="135"/>
      <c r="B19" s="135"/>
      <c r="C19" s="135">
        <v>6</v>
      </c>
      <c r="D19" s="165" t="s">
        <v>1667</v>
      </c>
      <c r="E19" s="136"/>
      <c r="F19" s="136"/>
      <c r="G19" s="136"/>
      <c r="H19" s="136"/>
      <c r="I19" s="136"/>
      <c r="J19" s="136" t="s">
        <v>1618</v>
      </c>
      <c r="K19" s="136"/>
      <c r="L19" s="136"/>
      <c r="M19" s="136"/>
      <c r="N19" s="136"/>
      <c r="O19" s="136"/>
      <c r="P19" s="137">
        <v>45551</v>
      </c>
      <c r="Q19" s="137">
        <v>45559</v>
      </c>
      <c r="R19" s="136"/>
      <c r="S19" s="138">
        <v>7</v>
      </c>
      <c r="T19" s="138">
        <v>0</v>
      </c>
      <c r="U19" s="138">
        <v>7</v>
      </c>
      <c r="V19" s="138">
        <v>0</v>
      </c>
      <c r="W19" s="137"/>
      <c r="X19" s="137"/>
      <c r="Y19" s="139"/>
      <c r="Z19" s="140">
        <v>0</v>
      </c>
      <c r="AA19" s="138"/>
      <c r="AB19" s="136" t="s">
        <v>1613</v>
      </c>
      <c r="AC19" s="141"/>
      <c r="AD19" s="164">
        <v>0</v>
      </c>
      <c r="AE19" s="203">
        <v>1</v>
      </c>
      <c r="AF19" s="170"/>
      <c r="AG19" s="171"/>
      <c r="AH19" s="171"/>
      <c r="AI19" s="171"/>
      <c r="AJ19" s="171"/>
      <c r="AK19" s="171" t="str">
        <f>"   " &amp; TEXT(AE19,"#0.00%") &amp; " " &amp; "회원 기능" &amp; "(김남규)" &amp; " " &amp; IF(P19="","",TEXT(P19,"M/D-")) &amp; IF(Q19="","",TEXT(Q19,"M/D")) &amp; " "</f>
        <v xml:space="preserve">   100.00% 회원 기능(김남규) 9/16-9/24 </v>
      </c>
      <c r="AL19" s="171"/>
      <c r="AM19" s="171"/>
      <c r="AN19" s="171"/>
      <c r="AO19" s="171"/>
      <c r="AP19" s="171"/>
      <c r="AQ19" s="171"/>
      <c r="AR19" s="171"/>
      <c r="AS19" s="171"/>
      <c r="AT19" s="171"/>
    </row>
    <row r="20" spans="1:46" ht="12" customHeight="1" outlineLevel="5">
      <c r="A20" s="135">
        <v>1</v>
      </c>
      <c r="B20" s="135"/>
      <c r="C20" s="135">
        <v>6</v>
      </c>
      <c r="D20" s="165" t="s">
        <v>1668</v>
      </c>
      <c r="E20" s="136"/>
      <c r="F20" s="136"/>
      <c r="G20" s="136"/>
      <c r="H20" s="136"/>
      <c r="I20" s="136"/>
      <c r="J20" s="136" t="s">
        <v>1619</v>
      </c>
      <c r="K20" s="136"/>
      <c r="L20" s="136"/>
      <c r="M20" s="136"/>
      <c r="N20" s="136"/>
      <c r="O20" s="136"/>
      <c r="P20" s="137">
        <v>45551</v>
      </c>
      <c r="Q20" s="137">
        <v>45559</v>
      </c>
      <c r="R20" s="136"/>
      <c r="S20" s="138">
        <v>0</v>
      </c>
      <c r="T20" s="138">
        <v>0</v>
      </c>
      <c r="U20" s="138">
        <v>7</v>
      </c>
      <c r="V20" s="138">
        <v>0</v>
      </c>
      <c r="W20" s="137"/>
      <c r="X20" s="137"/>
      <c r="Y20" s="139"/>
      <c r="Z20" s="140">
        <v>0</v>
      </c>
      <c r="AA20" s="138"/>
      <c r="AB20" s="136" t="s">
        <v>1613</v>
      </c>
      <c r="AC20" s="141"/>
      <c r="AD20" s="164">
        <v>0</v>
      </c>
      <c r="AE20" s="172">
        <v>0</v>
      </c>
      <c r="AF20" s="170"/>
      <c r="AG20" s="171"/>
      <c r="AH20" s="171"/>
      <c r="AI20" s="171"/>
      <c r="AJ20" s="171" t="str">
        <f>"     " &amp; TEXT(AE20,"#0.00%") &amp; " " &amp; "그룹 기능" &amp; "(김남규)" &amp; " " &amp; IF(P20="","",TEXT(P20,"M/D-")) &amp; IF(Q20="","",TEXT(Q20,"M/D")) &amp; " "</f>
        <v xml:space="preserve">     0.00% 그룹 기능(김남규) 9/16-9/24 </v>
      </c>
      <c r="AK20" s="171"/>
      <c r="AL20" s="171"/>
      <c r="AM20" s="171"/>
      <c r="AN20" s="171"/>
      <c r="AO20" s="171"/>
      <c r="AP20" s="171"/>
      <c r="AQ20" s="171"/>
      <c r="AR20" s="171"/>
      <c r="AS20" s="171"/>
      <c r="AT20" s="171"/>
    </row>
    <row r="21" spans="1:46" ht="12" customHeight="1" outlineLevel="5">
      <c r="A21" s="135"/>
      <c r="B21" s="135"/>
      <c r="C21" s="135">
        <v>6</v>
      </c>
      <c r="D21" s="165" t="s">
        <v>1669</v>
      </c>
      <c r="E21" s="136"/>
      <c r="F21" s="136"/>
      <c r="G21" s="136"/>
      <c r="H21" s="136"/>
      <c r="I21" s="136"/>
      <c r="J21" s="136" t="s">
        <v>1620</v>
      </c>
      <c r="K21" s="136"/>
      <c r="L21" s="136"/>
      <c r="M21" s="136"/>
      <c r="N21" s="136"/>
      <c r="O21" s="136"/>
      <c r="P21" s="137">
        <v>45551</v>
      </c>
      <c r="Q21" s="137">
        <v>45559</v>
      </c>
      <c r="R21" s="136"/>
      <c r="S21" s="138">
        <v>7</v>
      </c>
      <c r="T21" s="138">
        <v>0</v>
      </c>
      <c r="U21" s="138">
        <v>7</v>
      </c>
      <c r="V21" s="138">
        <v>0</v>
      </c>
      <c r="W21" s="137"/>
      <c r="X21" s="137"/>
      <c r="Y21" s="139"/>
      <c r="Z21" s="140">
        <v>0</v>
      </c>
      <c r="AA21" s="138"/>
      <c r="AB21" s="136" t="s">
        <v>1613</v>
      </c>
      <c r="AC21" s="141"/>
      <c r="AD21" s="164">
        <v>0</v>
      </c>
      <c r="AE21" s="172">
        <v>0</v>
      </c>
      <c r="AF21" s="170"/>
      <c r="AG21" s="171"/>
      <c r="AH21" s="171"/>
      <c r="AI21" s="171"/>
      <c r="AJ21" s="171" t="str">
        <f>" " &amp; TEXT(AE21,"#0.00%") &amp; " " &amp; "앨범 기능" &amp; "(김남규)" &amp; " " &amp; IF(P21="","",TEXT(P21,"M/D-")) &amp; IF(Q21="","",TEXT(Q21,"M/D")) &amp; " "</f>
        <v xml:space="preserve"> 0.00% 앨범 기능(김남규) 9/16-9/24 </v>
      </c>
      <c r="AK21" s="171"/>
      <c r="AL21" s="171"/>
      <c r="AM21" s="171"/>
      <c r="AN21" s="171"/>
      <c r="AO21" s="171"/>
      <c r="AP21" s="171"/>
      <c r="AQ21" s="171"/>
      <c r="AR21" s="171"/>
      <c r="AS21" s="171"/>
      <c r="AT21" s="171"/>
    </row>
    <row r="22" spans="1:46" ht="12" customHeight="1" outlineLevel="5">
      <c r="A22" s="135"/>
      <c r="B22" s="135"/>
      <c r="C22" s="135">
        <v>6</v>
      </c>
      <c r="D22" s="165" t="s">
        <v>1670</v>
      </c>
      <c r="E22" s="136"/>
      <c r="F22" s="136"/>
      <c r="G22" s="136"/>
      <c r="H22" s="136"/>
      <c r="I22" s="136"/>
      <c r="J22" s="136" t="s">
        <v>1621</v>
      </c>
      <c r="K22" s="136"/>
      <c r="L22" s="136"/>
      <c r="M22" s="136"/>
      <c r="N22" s="136"/>
      <c r="O22" s="136"/>
      <c r="P22" s="137">
        <v>45551</v>
      </c>
      <c r="Q22" s="137">
        <v>45559</v>
      </c>
      <c r="R22" s="136"/>
      <c r="S22" s="138">
        <v>7</v>
      </c>
      <c r="T22" s="138">
        <v>0</v>
      </c>
      <c r="U22" s="138">
        <v>7</v>
      </c>
      <c r="V22" s="138">
        <v>0</v>
      </c>
      <c r="W22" s="137"/>
      <c r="X22" s="137"/>
      <c r="Y22" s="139"/>
      <c r="Z22" s="140">
        <v>0</v>
      </c>
      <c r="AA22" s="138"/>
      <c r="AB22" s="136" t="s">
        <v>1613</v>
      </c>
      <c r="AC22" s="141"/>
      <c r="AD22" s="164">
        <v>0</v>
      </c>
      <c r="AE22" s="172">
        <v>0</v>
      </c>
      <c r="AF22" s="170"/>
      <c r="AG22" s="171"/>
      <c r="AH22" s="171"/>
      <c r="AI22" s="171"/>
      <c r="AJ22" s="171" t="str">
        <f>" " &amp; TEXT(AE22,"#0.00%") &amp; " " &amp; "사진 기능" &amp; "(김남규)" &amp; " " &amp; IF(P22="","",TEXT(P22,"M/D-")) &amp; IF(Q22="","",TEXT(Q22,"M/D")) &amp; " "</f>
        <v xml:space="preserve"> 0.00% 사진 기능(김남규) 9/16-9/24 </v>
      </c>
      <c r="AK22" s="171"/>
      <c r="AL22" s="171"/>
      <c r="AM22" s="171"/>
      <c r="AN22" s="171"/>
      <c r="AO22" s="171"/>
      <c r="AP22" s="171"/>
      <c r="AQ22" s="171"/>
      <c r="AR22" s="171"/>
      <c r="AS22" s="171"/>
      <c r="AT22" s="171"/>
    </row>
    <row r="23" spans="1:46" ht="12" customHeight="1" outlineLevel="5">
      <c r="A23" s="135"/>
      <c r="B23" s="135"/>
      <c r="C23" s="135">
        <v>6</v>
      </c>
      <c r="D23" s="165" t="s">
        <v>1671</v>
      </c>
      <c r="E23" s="136"/>
      <c r="F23" s="136"/>
      <c r="G23" s="136"/>
      <c r="H23" s="136"/>
      <c r="I23" s="136"/>
      <c r="J23" s="136" t="s">
        <v>1622</v>
      </c>
      <c r="K23" s="136"/>
      <c r="L23" s="136"/>
      <c r="M23" s="136"/>
      <c r="N23" s="136"/>
      <c r="O23" s="136"/>
      <c r="P23" s="137">
        <v>45551</v>
      </c>
      <c r="Q23" s="137">
        <v>45559</v>
      </c>
      <c r="R23" s="136"/>
      <c r="S23" s="138">
        <v>7</v>
      </c>
      <c r="T23" s="138">
        <v>0</v>
      </c>
      <c r="U23" s="138">
        <v>7</v>
      </c>
      <c r="V23" s="138">
        <v>0</v>
      </c>
      <c r="W23" s="137"/>
      <c r="X23" s="137"/>
      <c r="Y23" s="139"/>
      <c r="Z23" s="140">
        <v>0</v>
      </c>
      <c r="AA23" s="138"/>
      <c r="AB23" s="136" t="s">
        <v>1613</v>
      </c>
      <c r="AC23" s="141"/>
      <c r="AD23" s="164">
        <v>0</v>
      </c>
      <c r="AE23" s="172">
        <v>0</v>
      </c>
      <c r="AF23" s="170"/>
      <c r="AG23" s="171"/>
      <c r="AH23" s="171"/>
      <c r="AI23" s="171"/>
      <c r="AJ23" s="171" t="str">
        <f>" " &amp; TEXT(AE23,"#0.00%") &amp; " " &amp; "친구 기능" &amp; "(김남규)" &amp; " " &amp; IF(P23="","",TEXT(P23,"M/D-")) &amp; IF(Q23="","",TEXT(Q23,"M/D")) &amp; " "</f>
        <v xml:space="preserve"> 0.00% 친구 기능(김남규) 9/16-9/24 </v>
      </c>
      <c r="AK23" s="171"/>
      <c r="AL23" s="171"/>
      <c r="AM23" s="171"/>
      <c r="AN23" s="171"/>
      <c r="AO23" s="171"/>
      <c r="AP23" s="171"/>
      <c r="AQ23" s="171"/>
      <c r="AR23" s="171"/>
      <c r="AS23" s="171"/>
      <c r="AT23" s="171"/>
    </row>
    <row r="24" spans="1:46" ht="12" customHeight="1" outlineLevel="5">
      <c r="A24" s="135"/>
      <c r="B24" s="135"/>
      <c r="C24" s="135">
        <v>6</v>
      </c>
      <c r="D24" s="165" t="s">
        <v>1672</v>
      </c>
      <c r="E24" s="136"/>
      <c r="F24" s="136"/>
      <c r="G24" s="136"/>
      <c r="H24" s="136"/>
      <c r="I24" s="136"/>
      <c r="J24" s="136" t="s">
        <v>1666</v>
      </c>
      <c r="K24" s="136"/>
      <c r="L24" s="136"/>
      <c r="M24" s="136"/>
      <c r="N24" s="136"/>
      <c r="O24" s="136"/>
      <c r="P24" s="137">
        <v>45551</v>
      </c>
      <c r="Q24" s="137">
        <v>45559</v>
      </c>
      <c r="R24" s="136"/>
      <c r="S24" s="138">
        <v>7</v>
      </c>
      <c r="T24" s="138">
        <v>0</v>
      </c>
      <c r="U24" s="138">
        <v>7</v>
      </c>
      <c r="V24" s="138">
        <v>0</v>
      </c>
      <c r="W24" s="137"/>
      <c r="X24" s="137"/>
      <c r="Y24" s="139"/>
      <c r="Z24" s="140">
        <v>0</v>
      </c>
      <c r="AA24" s="138"/>
      <c r="AB24" s="136" t="s">
        <v>1613</v>
      </c>
      <c r="AC24" s="141"/>
      <c r="AD24" s="164">
        <v>0</v>
      </c>
      <c r="AE24" s="172">
        <v>0</v>
      </c>
      <c r="AF24" s="170"/>
      <c r="AG24" s="171"/>
      <c r="AH24" s="171"/>
      <c r="AI24" s="171"/>
      <c r="AJ24" s="171" t="str">
        <f>" " &amp; TEXT(AE24,"#0.00%") &amp; " " &amp; "좋아요 기능" &amp; "(김남규)" &amp; " " &amp; IF(P24="","",TEXT(P24,"M/D-")) &amp; IF(Q24="","",TEXT(Q24,"M/D")) &amp; " "</f>
        <v xml:space="preserve"> 0.00% 좋아요 기능(김남규) 9/16-9/24 </v>
      </c>
      <c r="AK24" s="171"/>
      <c r="AL24" s="171"/>
      <c r="AM24" s="171"/>
      <c r="AN24" s="171"/>
      <c r="AO24" s="171"/>
      <c r="AP24" s="171"/>
      <c r="AQ24" s="171"/>
      <c r="AR24" s="171"/>
      <c r="AS24" s="171"/>
      <c r="AT24" s="171"/>
    </row>
    <row r="25" spans="1:46" ht="12" customHeight="1" outlineLevel="4">
      <c r="A25" s="135"/>
      <c r="B25" s="135" t="s">
        <v>1373</v>
      </c>
      <c r="C25" s="135">
        <v>5</v>
      </c>
      <c r="D25" s="165" t="s">
        <v>1636</v>
      </c>
      <c r="E25" s="136"/>
      <c r="F25" s="136"/>
      <c r="G25" s="136"/>
      <c r="H25" s="136"/>
      <c r="I25" s="136" t="s">
        <v>1605</v>
      </c>
      <c r="J25" s="136"/>
      <c r="K25" s="136"/>
      <c r="L25" s="136"/>
      <c r="M25" s="136"/>
      <c r="N25" s="136"/>
      <c r="O25" s="136"/>
      <c r="P25" s="137">
        <v>45537</v>
      </c>
      <c r="Q25" s="137">
        <v>45565</v>
      </c>
      <c r="R25" s="136"/>
      <c r="S25" s="138">
        <v>42</v>
      </c>
      <c r="T25" s="138">
        <v>2</v>
      </c>
      <c r="U25" s="138">
        <v>21</v>
      </c>
      <c r="V25" s="138">
        <v>1</v>
      </c>
      <c r="W25" s="137"/>
      <c r="X25" s="137"/>
      <c r="Y25" s="139">
        <v>0</v>
      </c>
      <c r="Z25" s="140">
        <v>0</v>
      </c>
      <c r="AA25" s="138"/>
      <c r="AB25" s="136"/>
      <c r="AC25" s="141"/>
      <c r="AD25" s="164">
        <v>4.7619047619047616E-2</v>
      </c>
      <c r="AE25" s="274">
        <v>0</v>
      </c>
      <c r="AF25" s="170"/>
      <c r="AG25" s="171"/>
      <c r="AH25" s="171" t="str">
        <f>" " &amp; TEXT(AE25,"#0.00%") &amp; " "</f>
        <v xml:space="preserve"> 0.00% </v>
      </c>
      <c r="AI25" s="171"/>
      <c r="AJ25" s="171"/>
      <c r="AK25" s="171"/>
      <c r="AL25" s="171" t="str">
        <f>"  " &amp; "View 개발" &amp; " " &amp; IF(P25="","",TEXT(P25,"M/D-")) &amp; IF(Q25="","",TEXT(Q25,"M/D")) &amp; " "</f>
        <v xml:space="preserve">  View 개발 9/2-9/30 </v>
      </c>
      <c r="AM25" s="171"/>
      <c r="AN25" s="171"/>
      <c r="AO25" s="171"/>
      <c r="AP25" s="171"/>
      <c r="AQ25" s="171"/>
      <c r="AR25" s="171"/>
      <c r="AS25" s="171"/>
      <c r="AT25" s="171"/>
    </row>
    <row r="26" spans="1:46" ht="12" customHeight="1" outlineLevel="5">
      <c r="A26" s="135"/>
      <c r="B26" s="135"/>
      <c r="C26" s="135">
        <v>6</v>
      </c>
      <c r="D26" s="165" t="s">
        <v>1637</v>
      </c>
      <c r="E26" s="136"/>
      <c r="F26" s="136"/>
      <c r="G26" s="136"/>
      <c r="H26" s="136"/>
      <c r="I26" s="136"/>
      <c r="J26" s="136" t="s">
        <v>1609</v>
      </c>
      <c r="K26" s="136"/>
      <c r="L26" s="136"/>
      <c r="M26" s="136"/>
      <c r="N26" s="136"/>
      <c r="O26" s="136"/>
      <c r="P26" s="137">
        <v>45537</v>
      </c>
      <c r="Q26" s="137">
        <v>45565</v>
      </c>
      <c r="R26" s="136"/>
      <c r="S26" s="138">
        <v>21</v>
      </c>
      <c r="T26" s="138">
        <v>1</v>
      </c>
      <c r="U26" s="138">
        <v>21</v>
      </c>
      <c r="V26" s="138">
        <v>1</v>
      </c>
      <c r="W26" s="137"/>
      <c r="X26" s="137"/>
      <c r="Y26" s="139"/>
      <c r="Z26" s="140">
        <v>0</v>
      </c>
      <c r="AA26" s="138"/>
      <c r="AB26" s="136" t="s">
        <v>1603</v>
      </c>
      <c r="AC26" s="141"/>
      <c r="AD26" s="164">
        <v>4.7619047619047616E-2</v>
      </c>
      <c r="AE26" s="273">
        <v>0</v>
      </c>
      <c r="AF26" s="170"/>
      <c r="AG26" s="171"/>
      <c r="AH26" s="171" t="str">
        <f>" " &amp; TEXT(AE26,"#0.00%") &amp; " "</f>
        <v xml:space="preserve"> 0.00% </v>
      </c>
      <c r="AI26" s="171"/>
      <c r="AJ26" s="171"/>
      <c r="AK26" s="171"/>
      <c r="AL26" s="171" t="str">
        <f>"  " &amp; "로컬 View 개발" &amp; "(조서윤)" &amp; " " &amp; IF(P26="","",TEXT(P26,"M/D-")) &amp; IF(Q26="","",TEXT(Q26,"M/D")) &amp; " "</f>
        <v xml:space="preserve">  로컬 View 개발(조서윤) 9/2-9/30 </v>
      </c>
      <c r="AM26" s="171"/>
      <c r="AN26" s="171"/>
      <c r="AO26" s="171"/>
      <c r="AP26" s="171"/>
      <c r="AQ26" s="171"/>
      <c r="AR26" s="171"/>
      <c r="AS26" s="171"/>
      <c r="AT26" s="171"/>
    </row>
    <row r="27" spans="1:46" ht="12" customHeight="1" outlineLevel="5">
      <c r="A27" s="135"/>
      <c r="B27" s="135"/>
      <c r="C27" s="135">
        <v>6</v>
      </c>
      <c r="D27" s="165" t="s">
        <v>1638</v>
      </c>
      <c r="E27" s="136"/>
      <c r="F27" s="136"/>
      <c r="G27" s="136"/>
      <c r="H27" s="136"/>
      <c r="I27" s="136"/>
      <c r="J27" s="136" t="s">
        <v>1610</v>
      </c>
      <c r="K27" s="136"/>
      <c r="L27" s="136"/>
      <c r="M27" s="136"/>
      <c r="N27" s="136"/>
      <c r="O27" s="136"/>
      <c r="P27" s="137">
        <v>45537</v>
      </c>
      <c r="Q27" s="137">
        <v>45565</v>
      </c>
      <c r="R27" s="136"/>
      <c r="S27" s="138">
        <v>21</v>
      </c>
      <c r="T27" s="138">
        <v>1</v>
      </c>
      <c r="U27" s="138">
        <v>21</v>
      </c>
      <c r="V27" s="138">
        <v>1</v>
      </c>
      <c r="W27" s="137"/>
      <c r="X27" s="137"/>
      <c r="Y27" s="139"/>
      <c r="Z27" s="140">
        <v>0</v>
      </c>
      <c r="AA27" s="138"/>
      <c r="AB27" s="136" t="s">
        <v>1603</v>
      </c>
      <c r="AC27" s="141"/>
      <c r="AD27" s="164">
        <v>4.7619047619047616E-2</v>
      </c>
      <c r="AE27" s="273">
        <v>0</v>
      </c>
      <c r="AF27" s="170"/>
      <c r="AG27" s="171"/>
      <c r="AH27" s="171" t="str">
        <f>" " &amp; TEXT(AE27,"#0.00%") &amp; " "</f>
        <v xml:space="preserve"> 0.00% </v>
      </c>
      <c r="AI27" s="171"/>
      <c r="AJ27" s="171"/>
      <c r="AK27" s="171"/>
      <c r="AL27" s="171" t="str">
        <f>"  " &amp; "공유 View 개발" &amp; "(조서윤)" &amp; " " &amp; IF(P27="","",TEXT(P27,"M/D-")) &amp; IF(Q27="","",TEXT(Q27,"M/D")) &amp; " "</f>
        <v xml:space="preserve">  공유 View 개발(조서윤) 9/2-9/30 </v>
      </c>
      <c r="AM27" s="171"/>
      <c r="AN27" s="171"/>
      <c r="AO27" s="171"/>
      <c r="AP27" s="171"/>
      <c r="AQ27" s="171"/>
      <c r="AR27" s="171"/>
      <c r="AS27" s="171"/>
      <c r="AT27" s="171"/>
    </row>
    <row r="28" spans="1:46" ht="12" customHeight="1" outlineLevel="4">
      <c r="A28" s="135"/>
      <c r="B28" s="135" t="s">
        <v>1373</v>
      </c>
      <c r="C28" s="135">
        <v>5</v>
      </c>
      <c r="D28" s="165" t="s">
        <v>1639</v>
      </c>
      <c r="E28" s="136"/>
      <c r="F28" s="136"/>
      <c r="G28" s="136"/>
      <c r="H28" s="136"/>
      <c r="I28" s="136" t="s">
        <v>1606</v>
      </c>
      <c r="J28" s="136"/>
      <c r="K28" s="136"/>
      <c r="L28" s="136"/>
      <c r="M28" s="136"/>
      <c r="N28" s="136"/>
      <c r="O28" s="136"/>
      <c r="P28" s="137">
        <v>45537</v>
      </c>
      <c r="Q28" s="137">
        <v>45565</v>
      </c>
      <c r="R28" s="136"/>
      <c r="S28" s="138">
        <v>63</v>
      </c>
      <c r="T28" s="138">
        <v>3</v>
      </c>
      <c r="U28" s="138">
        <v>21</v>
      </c>
      <c r="V28" s="138">
        <v>1</v>
      </c>
      <c r="W28" s="137"/>
      <c r="X28" s="137"/>
      <c r="Y28" s="139">
        <v>0</v>
      </c>
      <c r="Z28" s="140">
        <v>0</v>
      </c>
      <c r="AA28" s="138"/>
      <c r="AB28" s="136"/>
      <c r="AC28" s="141"/>
      <c r="AD28" s="164">
        <v>4.7619047619047616E-2</v>
      </c>
      <c r="AE28" s="274">
        <v>0</v>
      </c>
      <c r="AF28" s="170"/>
      <c r="AG28" s="171"/>
      <c r="AH28" s="171" t="str">
        <f>" " &amp; TEXT(AE28,"#0.00%") &amp; " "</f>
        <v xml:space="preserve"> 0.00% </v>
      </c>
      <c r="AI28" s="171"/>
      <c r="AJ28" s="171"/>
      <c r="AK28" s="171"/>
      <c r="AL28" s="171" t="str">
        <f>"  " &amp; "Activity 개발" &amp; " " &amp; IF(P28="","",TEXT(P28,"M/D-")) &amp; IF(Q28="","",TEXT(Q28,"M/D")) &amp; " "</f>
        <v xml:space="preserve">  Activity 개발 9/2-9/30 </v>
      </c>
      <c r="AM28" s="171"/>
      <c r="AN28" s="171"/>
      <c r="AO28" s="171"/>
      <c r="AP28" s="171"/>
      <c r="AQ28" s="171"/>
      <c r="AR28" s="171"/>
      <c r="AS28" s="171"/>
      <c r="AT28" s="171"/>
    </row>
    <row r="29" spans="1:46" ht="12" customHeight="1" outlineLevel="5">
      <c r="A29" s="135"/>
      <c r="B29" s="135"/>
      <c r="C29" s="135">
        <v>6</v>
      </c>
      <c r="D29" s="165" t="s">
        <v>1640</v>
      </c>
      <c r="E29" s="136"/>
      <c r="F29" s="136"/>
      <c r="G29" s="136"/>
      <c r="H29" s="136"/>
      <c r="I29" s="136"/>
      <c r="J29" s="136" t="s">
        <v>1607</v>
      </c>
      <c r="K29" s="136"/>
      <c r="L29" s="136"/>
      <c r="M29" s="136"/>
      <c r="N29" s="136"/>
      <c r="O29" s="136"/>
      <c r="P29" s="137">
        <v>45537</v>
      </c>
      <c r="Q29" s="137">
        <v>45565</v>
      </c>
      <c r="R29" s="136"/>
      <c r="S29" s="138">
        <v>42</v>
      </c>
      <c r="T29" s="138">
        <v>2</v>
      </c>
      <c r="U29" s="138">
        <v>21</v>
      </c>
      <c r="V29" s="138">
        <v>1</v>
      </c>
      <c r="W29" s="137"/>
      <c r="X29" s="137"/>
      <c r="Y29" s="139"/>
      <c r="Z29" s="140">
        <v>0</v>
      </c>
      <c r="AA29" s="138"/>
      <c r="AB29" s="136" t="s">
        <v>1614</v>
      </c>
      <c r="AC29" s="141"/>
      <c r="AD29" s="164">
        <v>4.7619047619047616E-2</v>
      </c>
      <c r="AE29" s="273">
        <v>0</v>
      </c>
      <c r="AF29" s="170"/>
      <c r="AG29" s="171"/>
      <c r="AH29" s="171" t="str">
        <f>" " &amp; TEXT(AE29,"#0.00%") &amp; " "</f>
        <v xml:space="preserve"> 0.00% </v>
      </c>
      <c r="AI29" s="171"/>
      <c r="AJ29" s="171"/>
      <c r="AK29" s="171"/>
      <c r="AL29" s="171" t="str">
        <f>"  " &amp; "로컬 Activity 개발" &amp; "(이동현, 조서윤)" &amp; " " &amp; IF(P29="","",TEXT(P29,"M/D-")) &amp; IF(Q29="","",TEXT(Q29,"M/D")) &amp; " "</f>
        <v xml:space="preserve">  로컬 Activity 개발(이동현, 조서윤) 9/2-9/30 </v>
      </c>
      <c r="AM29" s="171"/>
      <c r="AN29" s="171"/>
      <c r="AO29" s="171"/>
      <c r="AP29" s="171"/>
      <c r="AQ29" s="171"/>
      <c r="AR29" s="171"/>
      <c r="AS29" s="171"/>
      <c r="AT29" s="171"/>
    </row>
    <row r="30" spans="1:46" ht="12" customHeight="1" outlineLevel="5">
      <c r="A30" s="135"/>
      <c r="B30" s="135"/>
      <c r="C30" s="135">
        <v>6</v>
      </c>
      <c r="D30" s="165" t="s">
        <v>1641</v>
      </c>
      <c r="E30" s="136"/>
      <c r="F30" s="136"/>
      <c r="G30" s="136"/>
      <c r="H30" s="136"/>
      <c r="I30" s="136"/>
      <c r="J30" s="136" t="s">
        <v>1608</v>
      </c>
      <c r="K30" s="136"/>
      <c r="L30" s="136"/>
      <c r="M30" s="136"/>
      <c r="N30" s="136"/>
      <c r="O30" s="136"/>
      <c r="P30" s="137">
        <v>45537</v>
      </c>
      <c r="Q30" s="137">
        <v>45565</v>
      </c>
      <c r="R30" s="136"/>
      <c r="S30" s="138">
        <v>21</v>
      </c>
      <c r="T30" s="138">
        <v>1</v>
      </c>
      <c r="U30" s="138">
        <v>21</v>
      </c>
      <c r="V30" s="138">
        <v>1</v>
      </c>
      <c r="W30" s="137"/>
      <c r="X30" s="137"/>
      <c r="Y30" s="139"/>
      <c r="Z30" s="140">
        <v>0</v>
      </c>
      <c r="AA30" s="138"/>
      <c r="AB30" s="136" t="s">
        <v>1615</v>
      </c>
      <c r="AC30" s="141"/>
      <c r="AD30" s="164">
        <v>4.7619047619047616E-2</v>
      </c>
      <c r="AE30" s="273">
        <v>0</v>
      </c>
      <c r="AF30" s="170"/>
      <c r="AG30" s="171"/>
      <c r="AH30" s="171" t="str">
        <f>" " &amp; TEXT(AE30,"#0.00%") &amp; " "</f>
        <v xml:space="preserve"> 0.00% </v>
      </c>
      <c r="AI30" s="171"/>
      <c r="AJ30" s="171"/>
      <c r="AK30" s="171"/>
      <c r="AL30" s="171" t="str">
        <f>"  " &amp; "공유 Activity 개발" &amp; "(김남규. 조서윤)" &amp; " " &amp; IF(P30="","",TEXT(P30,"M/D-")) &amp; IF(Q30="","",TEXT(Q30,"M/D")) &amp; " "</f>
        <v xml:space="preserve">  공유 Activity 개발(김남규. 조서윤) 9/2-9/30 </v>
      </c>
      <c r="AM30" s="171"/>
      <c r="AN30" s="171"/>
      <c r="AO30" s="171"/>
      <c r="AP30" s="171"/>
      <c r="AQ30" s="171"/>
      <c r="AR30" s="171"/>
      <c r="AS30" s="171"/>
      <c r="AT30" s="171"/>
    </row>
    <row r="31" spans="1:46" ht="12" customHeight="1" outlineLevel="3">
      <c r="A31" s="135"/>
      <c r="B31" s="135" t="s">
        <v>1373</v>
      </c>
      <c r="C31" s="135">
        <v>4</v>
      </c>
      <c r="D31" s="165" t="s">
        <v>1642</v>
      </c>
      <c r="E31" s="136"/>
      <c r="F31" s="136"/>
      <c r="G31" s="136"/>
      <c r="H31" s="136" t="s">
        <v>1616</v>
      </c>
      <c r="I31" s="136"/>
      <c r="J31" s="136"/>
      <c r="K31" s="136"/>
      <c r="L31" s="136"/>
      <c r="M31" s="136"/>
      <c r="N31" s="136"/>
      <c r="O31" s="136"/>
      <c r="P31" s="137">
        <v>45535</v>
      </c>
      <c r="Q31" s="137">
        <v>45550</v>
      </c>
      <c r="R31" s="136"/>
      <c r="S31" s="138">
        <v>50</v>
      </c>
      <c r="T31" s="138">
        <v>5</v>
      </c>
      <c r="U31" s="138">
        <v>10</v>
      </c>
      <c r="V31" s="138">
        <v>1</v>
      </c>
      <c r="W31" s="137"/>
      <c r="X31" s="137"/>
      <c r="Y31" s="139">
        <v>0</v>
      </c>
      <c r="Z31" s="140">
        <v>0</v>
      </c>
      <c r="AA31" s="138"/>
      <c r="AB31" s="136"/>
      <c r="AC31" s="141"/>
      <c r="AD31" s="164">
        <v>0.1</v>
      </c>
      <c r="AE31" s="274">
        <v>0</v>
      </c>
      <c r="AF31" s="170"/>
      <c r="AG31" s="171" t="str">
        <f>"      " &amp; TEXT(AE31,"#0.00%") &amp; " " &amp; "스프링" &amp; " " &amp; IF(P31="","",TEXT(P31,"M/D-")) &amp; IF(Q31="","",TEXT(Q31,"M/D")) &amp; " "</f>
        <v xml:space="preserve">      0.00% 스프링 8/31-9/15 </v>
      </c>
      <c r="AH31" s="171"/>
      <c r="AI31" s="171"/>
      <c r="AJ31" s="171"/>
      <c r="AK31" s="171"/>
      <c r="AL31" s="171"/>
      <c r="AM31" s="171"/>
      <c r="AN31" s="171"/>
      <c r="AO31" s="171"/>
      <c r="AP31" s="171"/>
      <c r="AQ31" s="171"/>
      <c r="AR31" s="171"/>
      <c r="AS31" s="171"/>
      <c r="AT31" s="171"/>
    </row>
    <row r="32" spans="1:46" ht="12" customHeight="1" outlineLevel="4">
      <c r="A32" s="135"/>
      <c r="B32" s="135" t="s">
        <v>1373</v>
      </c>
      <c r="C32" s="135">
        <v>5</v>
      </c>
      <c r="D32" s="165" t="s">
        <v>1643</v>
      </c>
      <c r="E32" s="136"/>
      <c r="F32" s="136"/>
      <c r="G32" s="136"/>
      <c r="H32" s="136"/>
      <c r="I32" s="136" t="s">
        <v>1617</v>
      </c>
      <c r="J32" s="136"/>
      <c r="K32" s="136"/>
      <c r="L32" s="136"/>
      <c r="M32" s="136"/>
      <c r="N32" s="136"/>
      <c r="O32" s="136"/>
      <c r="P32" s="137">
        <v>45544</v>
      </c>
      <c r="Q32" s="137">
        <v>45550</v>
      </c>
      <c r="R32" s="136"/>
      <c r="S32" s="138">
        <v>25</v>
      </c>
      <c r="T32" s="138">
        <v>0</v>
      </c>
      <c r="U32" s="138">
        <v>5</v>
      </c>
      <c r="V32" s="138">
        <v>0</v>
      </c>
      <c r="W32" s="137"/>
      <c r="X32" s="137"/>
      <c r="Y32" s="139">
        <v>0</v>
      </c>
      <c r="Z32" s="140">
        <v>0</v>
      </c>
      <c r="AA32" s="138"/>
      <c r="AB32" s="136"/>
      <c r="AC32" s="141"/>
      <c r="AD32" s="164">
        <v>0</v>
      </c>
      <c r="AE32" s="202">
        <v>0</v>
      </c>
      <c r="AF32" s="170"/>
      <c r="AG32" s="171"/>
      <c r="AH32" s="171"/>
      <c r="AI32" s="171" t="str">
        <f>" " &amp; TEXT(AE32,"#0.00%") &amp; " " &amp; "Controller" &amp; " " &amp; IF(P32="","",TEXT(P32,"M/D-")) &amp; IF(Q32="","",TEXT(Q32,"M/D")) &amp; " "</f>
        <v xml:space="preserve"> 0.00% Controller 9/9-9/15 </v>
      </c>
      <c r="AJ32" s="171"/>
      <c r="AK32" s="171"/>
      <c r="AL32" s="171"/>
      <c r="AM32" s="171"/>
      <c r="AN32" s="171"/>
      <c r="AO32" s="171"/>
      <c r="AP32" s="171"/>
      <c r="AQ32" s="171"/>
      <c r="AR32" s="171"/>
      <c r="AS32" s="171"/>
      <c r="AT32" s="171"/>
    </row>
    <row r="33" spans="1:46" ht="12" customHeight="1" outlineLevel="5">
      <c r="A33" s="135"/>
      <c r="B33" s="135"/>
      <c r="C33" s="135">
        <v>6</v>
      </c>
      <c r="D33" s="165" t="s">
        <v>1644</v>
      </c>
      <c r="E33" s="136"/>
      <c r="F33" s="136"/>
      <c r="G33" s="136"/>
      <c r="H33" s="136"/>
      <c r="I33" s="136"/>
      <c r="J33" s="136" t="s">
        <v>1618</v>
      </c>
      <c r="K33" s="136"/>
      <c r="L33" s="136"/>
      <c r="M33" s="136"/>
      <c r="N33" s="136"/>
      <c r="O33" s="136"/>
      <c r="P33" s="137">
        <v>45544</v>
      </c>
      <c r="Q33" s="137">
        <v>45550</v>
      </c>
      <c r="R33" s="136"/>
      <c r="S33" s="138">
        <v>5</v>
      </c>
      <c r="T33" s="138">
        <v>0</v>
      </c>
      <c r="U33" s="138">
        <v>5</v>
      </c>
      <c r="V33" s="138">
        <v>0</v>
      </c>
      <c r="W33" s="137"/>
      <c r="X33" s="137"/>
      <c r="Y33" s="139"/>
      <c r="Z33" s="140">
        <v>0</v>
      </c>
      <c r="AA33" s="138"/>
      <c r="AB33" s="136" t="s">
        <v>1627</v>
      </c>
      <c r="AC33" s="141"/>
      <c r="AD33" s="164">
        <v>0</v>
      </c>
      <c r="AE33" s="172">
        <v>0</v>
      </c>
      <c r="AF33" s="170"/>
      <c r="AG33" s="171"/>
      <c r="AH33" s="171"/>
      <c r="AI33" s="171" t="str">
        <f>" " &amp; TEXT(AE33,"#0.00%") &amp; " " &amp; "회원 기능" &amp; "(전경섭)" &amp; " " &amp; IF(P33="","",TEXT(P33,"M/D-")) &amp; IF(Q33="","",TEXT(Q33,"M/D")) &amp; " "</f>
        <v xml:space="preserve"> 0.00% 회원 기능(전경섭) 9/9-9/15 </v>
      </c>
      <c r="AJ33" s="171"/>
      <c r="AK33" s="171"/>
      <c r="AL33" s="171"/>
      <c r="AM33" s="171"/>
      <c r="AN33" s="171"/>
      <c r="AO33" s="171"/>
      <c r="AP33" s="171"/>
      <c r="AQ33" s="171"/>
      <c r="AR33" s="171"/>
      <c r="AS33" s="171"/>
      <c r="AT33" s="171"/>
    </row>
    <row r="34" spans="1:46" ht="12" customHeight="1" outlineLevel="5">
      <c r="A34" s="135"/>
      <c r="B34" s="135"/>
      <c r="C34" s="135">
        <v>6</v>
      </c>
      <c r="D34" s="165" t="s">
        <v>1645</v>
      </c>
      <c r="E34" s="136"/>
      <c r="F34" s="136"/>
      <c r="G34" s="136"/>
      <c r="H34" s="136"/>
      <c r="I34" s="136"/>
      <c r="J34" s="136" t="s">
        <v>1619</v>
      </c>
      <c r="K34" s="136"/>
      <c r="L34" s="136"/>
      <c r="M34" s="136"/>
      <c r="N34" s="136"/>
      <c r="O34" s="136"/>
      <c r="P34" s="137">
        <v>45544</v>
      </c>
      <c r="Q34" s="137">
        <v>45550</v>
      </c>
      <c r="R34" s="136"/>
      <c r="S34" s="138">
        <v>5</v>
      </c>
      <c r="T34" s="138">
        <v>0</v>
      </c>
      <c r="U34" s="138">
        <v>5</v>
      </c>
      <c r="V34" s="138">
        <v>0</v>
      </c>
      <c r="W34" s="137"/>
      <c r="X34" s="137"/>
      <c r="Y34" s="139"/>
      <c r="Z34" s="140">
        <v>0</v>
      </c>
      <c r="AA34" s="138"/>
      <c r="AB34" s="136" t="s">
        <v>1602</v>
      </c>
      <c r="AC34" s="141"/>
      <c r="AD34" s="164">
        <v>0</v>
      </c>
      <c r="AE34" s="172">
        <v>0</v>
      </c>
      <c r="AF34" s="170"/>
      <c r="AG34" s="171"/>
      <c r="AH34" s="171"/>
      <c r="AI34" s="171" t="str">
        <f>" " &amp; TEXT(AE34,"#0.00%") &amp; " " &amp; "그룹 기능" &amp; "(김명준)" &amp; " " &amp; IF(P34="","",TEXT(P34,"M/D-")) &amp; IF(Q34="","",TEXT(Q34,"M/D")) &amp; " "</f>
        <v xml:space="preserve"> 0.00% 그룹 기능(김명준) 9/9-9/15 </v>
      </c>
      <c r="AJ34" s="171"/>
      <c r="AK34" s="171"/>
      <c r="AL34" s="171"/>
      <c r="AM34" s="171"/>
      <c r="AN34" s="171"/>
      <c r="AO34" s="171"/>
      <c r="AP34" s="171"/>
      <c r="AQ34" s="171"/>
      <c r="AR34" s="171"/>
      <c r="AS34" s="171"/>
      <c r="AT34" s="171"/>
    </row>
    <row r="35" spans="1:46" ht="12" customHeight="1" outlineLevel="5">
      <c r="A35" s="135"/>
      <c r="B35" s="135"/>
      <c r="C35" s="135">
        <v>6</v>
      </c>
      <c r="D35" s="165" t="s">
        <v>1646</v>
      </c>
      <c r="E35" s="136"/>
      <c r="F35" s="136"/>
      <c r="G35" s="136"/>
      <c r="H35" s="136"/>
      <c r="I35" s="136"/>
      <c r="J35" s="136" t="s">
        <v>1620</v>
      </c>
      <c r="K35" s="136"/>
      <c r="L35" s="136"/>
      <c r="M35" s="136"/>
      <c r="N35" s="136"/>
      <c r="O35" s="136"/>
      <c r="P35" s="137">
        <v>45544</v>
      </c>
      <c r="Q35" s="137">
        <v>45550</v>
      </c>
      <c r="R35" s="136"/>
      <c r="S35" s="138">
        <v>5</v>
      </c>
      <c r="T35" s="138">
        <v>0</v>
      </c>
      <c r="U35" s="138">
        <v>5</v>
      </c>
      <c r="V35" s="138">
        <v>0</v>
      </c>
      <c r="W35" s="137"/>
      <c r="X35" s="137"/>
      <c r="Y35" s="139"/>
      <c r="Z35" s="140">
        <v>0</v>
      </c>
      <c r="AA35" s="138"/>
      <c r="AB35" s="136" t="s">
        <v>1602</v>
      </c>
      <c r="AC35" s="141"/>
      <c r="AD35" s="164">
        <v>0</v>
      </c>
      <c r="AE35" s="172">
        <v>0</v>
      </c>
      <c r="AF35" s="170"/>
      <c r="AG35" s="171"/>
      <c r="AH35" s="171"/>
      <c r="AI35" s="171" t="str">
        <f>" " &amp; TEXT(AE35,"#0.00%") &amp; " " &amp; "앨범 기능" &amp; "(김명준)" &amp; " " &amp; IF(P35="","",TEXT(P35,"M/D-")) &amp; IF(Q35="","",TEXT(Q35,"M/D")) &amp; " "</f>
        <v xml:space="preserve"> 0.00% 앨범 기능(김명준) 9/9-9/15 </v>
      </c>
      <c r="AJ35" s="171"/>
      <c r="AK35" s="171"/>
      <c r="AL35" s="171"/>
      <c r="AM35" s="171"/>
      <c r="AN35" s="171"/>
      <c r="AO35" s="171"/>
      <c r="AP35" s="171"/>
      <c r="AQ35" s="171"/>
      <c r="AR35" s="171"/>
      <c r="AS35" s="171"/>
      <c r="AT35" s="171"/>
    </row>
    <row r="36" spans="1:46" ht="12" customHeight="1" outlineLevel="5">
      <c r="A36" s="135"/>
      <c r="B36" s="135"/>
      <c r="C36" s="135">
        <v>6</v>
      </c>
      <c r="D36" s="165" t="s">
        <v>1647</v>
      </c>
      <c r="E36" s="136"/>
      <c r="F36" s="136"/>
      <c r="G36" s="136"/>
      <c r="H36" s="136"/>
      <c r="I36" s="136"/>
      <c r="J36" s="136" t="s">
        <v>1621</v>
      </c>
      <c r="K36" s="136"/>
      <c r="L36" s="136"/>
      <c r="M36" s="136"/>
      <c r="N36" s="136"/>
      <c r="O36" s="136"/>
      <c r="P36" s="137">
        <v>45544</v>
      </c>
      <c r="Q36" s="137">
        <v>45550</v>
      </c>
      <c r="R36" s="136"/>
      <c r="S36" s="138">
        <v>5</v>
      </c>
      <c r="T36" s="138">
        <v>0</v>
      </c>
      <c r="U36" s="138">
        <v>5</v>
      </c>
      <c r="V36" s="138">
        <v>0</v>
      </c>
      <c r="W36" s="137"/>
      <c r="X36" s="137"/>
      <c r="Y36" s="139"/>
      <c r="Z36" s="140">
        <v>0</v>
      </c>
      <c r="AA36" s="138"/>
      <c r="AB36" s="136" t="s">
        <v>1602</v>
      </c>
      <c r="AC36" s="141"/>
      <c r="AD36" s="164">
        <v>0</v>
      </c>
      <c r="AE36" s="172">
        <v>0</v>
      </c>
      <c r="AF36" s="170"/>
      <c r="AG36" s="171"/>
      <c r="AH36" s="171"/>
      <c r="AI36" s="171" t="str">
        <f>" " &amp; TEXT(AE36,"#0.00%") &amp; " " &amp; "사진 기능" &amp; "(김명준)" &amp; " " &amp; IF(P36="","",TEXT(P36,"M/D-")) &amp; IF(Q36="","",TEXT(Q36,"M/D")) &amp; " "</f>
        <v xml:space="preserve"> 0.00% 사진 기능(김명준) 9/9-9/15 </v>
      </c>
      <c r="AJ36" s="171"/>
      <c r="AK36" s="171"/>
      <c r="AL36" s="171"/>
      <c r="AM36" s="171"/>
      <c r="AN36" s="171"/>
      <c r="AO36" s="171"/>
      <c r="AP36" s="171"/>
      <c r="AQ36" s="171"/>
      <c r="AR36" s="171"/>
      <c r="AS36" s="171"/>
      <c r="AT36" s="171"/>
    </row>
    <row r="37" spans="1:46" ht="12" customHeight="1" outlineLevel="5">
      <c r="A37" s="135"/>
      <c r="B37" s="135"/>
      <c r="C37" s="135">
        <v>6</v>
      </c>
      <c r="D37" s="165" t="s">
        <v>1648</v>
      </c>
      <c r="E37" s="136"/>
      <c r="F37" s="136"/>
      <c r="G37" s="136"/>
      <c r="H37" s="136"/>
      <c r="I37" s="136"/>
      <c r="J37" s="136" t="s">
        <v>1622</v>
      </c>
      <c r="K37" s="136"/>
      <c r="L37" s="136"/>
      <c r="M37" s="136"/>
      <c r="N37" s="136"/>
      <c r="O37" s="136"/>
      <c r="P37" s="137">
        <v>45544</v>
      </c>
      <c r="Q37" s="137">
        <v>45550</v>
      </c>
      <c r="R37" s="136"/>
      <c r="S37" s="138">
        <v>5</v>
      </c>
      <c r="T37" s="138">
        <v>0</v>
      </c>
      <c r="U37" s="138">
        <v>5</v>
      </c>
      <c r="V37" s="138">
        <v>0</v>
      </c>
      <c r="W37" s="137"/>
      <c r="X37" s="137"/>
      <c r="Y37" s="139"/>
      <c r="Z37" s="140">
        <v>0</v>
      </c>
      <c r="AA37" s="138"/>
      <c r="AB37" s="136" t="s">
        <v>1627</v>
      </c>
      <c r="AC37" s="141"/>
      <c r="AD37" s="164">
        <v>0</v>
      </c>
      <c r="AE37" s="172">
        <v>0</v>
      </c>
      <c r="AF37" s="170"/>
      <c r="AG37" s="171"/>
      <c r="AH37" s="171"/>
      <c r="AI37" s="171" t="str">
        <f>" " &amp; TEXT(AE37,"#0.00%") &amp; " " &amp; "친구 기능" &amp; "(전경섭)" &amp; " " &amp; IF(P37="","",TEXT(P37,"M/D-")) &amp; IF(Q37="","",TEXT(Q37,"M/D")) &amp; " "</f>
        <v xml:space="preserve"> 0.00% 친구 기능(전경섭) 9/9-9/15 </v>
      </c>
      <c r="AJ37" s="171"/>
      <c r="AK37" s="171"/>
      <c r="AL37" s="171"/>
      <c r="AM37" s="171"/>
      <c r="AN37" s="171"/>
      <c r="AO37" s="171"/>
      <c r="AP37" s="171"/>
      <c r="AQ37" s="171"/>
      <c r="AR37" s="171"/>
      <c r="AS37" s="171"/>
      <c r="AT37" s="171"/>
    </row>
    <row r="38" spans="1:46" ht="12" customHeight="1" outlineLevel="5">
      <c r="A38" s="135"/>
      <c r="B38" s="135"/>
      <c r="C38" s="135">
        <v>6</v>
      </c>
      <c r="D38" s="165" t="s">
        <v>1673</v>
      </c>
      <c r="E38" s="136"/>
      <c r="F38" s="136"/>
      <c r="G38" s="136"/>
      <c r="H38" s="136"/>
      <c r="I38" s="136"/>
      <c r="J38" s="136" t="s">
        <v>1666</v>
      </c>
      <c r="K38" s="136"/>
      <c r="L38" s="136"/>
      <c r="M38" s="136"/>
      <c r="N38" s="136"/>
      <c r="O38" s="136"/>
      <c r="P38" s="137"/>
      <c r="Q38" s="137"/>
      <c r="R38" s="136"/>
      <c r="S38" s="138">
        <v>0</v>
      </c>
      <c r="T38" s="138">
        <v>0</v>
      </c>
      <c r="U38" s="138">
        <v>0</v>
      </c>
      <c r="V38" s="138">
        <v>0</v>
      </c>
      <c r="W38" s="137"/>
      <c r="X38" s="137"/>
      <c r="Y38" s="139">
        <v>0</v>
      </c>
      <c r="Z38" s="140">
        <v>0</v>
      </c>
      <c r="AA38" s="138"/>
      <c r="AB38" s="136" t="s">
        <v>1602</v>
      </c>
      <c r="AC38" s="141"/>
      <c r="AD38" s="164">
        <v>0</v>
      </c>
      <c r="AE38" s="272">
        <v>0</v>
      </c>
      <c r="AF38" s="170"/>
      <c r="AG38" s="171"/>
      <c r="AH38" s="171"/>
      <c r="AI38" s="171"/>
      <c r="AJ38" s="171"/>
      <c r="AK38" s="171"/>
      <c r="AL38" s="171"/>
      <c r="AM38" s="171"/>
      <c r="AN38" s="171"/>
      <c r="AO38" s="171"/>
      <c r="AP38" s="171"/>
      <c r="AQ38" s="171"/>
      <c r="AR38" s="171"/>
      <c r="AS38" s="171"/>
      <c r="AT38" s="171"/>
    </row>
    <row r="39" spans="1:46" ht="12" customHeight="1" outlineLevel="4">
      <c r="A39" s="135"/>
      <c r="B39" s="135" t="s">
        <v>1373</v>
      </c>
      <c r="C39" s="135">
        <v>5</v>
      </c>
      <c r="D39" s="165" t="s">
        <v>1649</v>
      </c>
      <c r="E39" s="136"/>
      <c r="F39" s="136"/>
      <c r="G39" s="136"/>
      <c r="H39" s="136"/>
      <c r="I39" s="136" t="s">
        <v>1623</v>
      </c>
      <c r="J39" s="136"/>
      <c r="K39" s="136"/>
      <c r="L39" s="136"/>
      <c r="M39" s="136"/>
      <c r="N39" s="136"/>
      <c r="O39" s="136"/>
      <c r="P39" s="137">
        <v>45536</v>
      </c>
      <c r="Q39" s="137">
        <v>45543</v>
      </c>
      <c r="R39" s="136"/>
      <c r="S39" s="138">
        <v>25</v>
      </c>
      <c r="T39" s="138">
        <v>5</v>
      </c>
      <c r="U39" s="138">
        <v>5</v>
      </c>
      <c r="V39" s="138">
        <v>1</v>
      </c>
      <c r="W39" s="137"/>
      <c r="X39" s="137"/>
      <c r="Y39" s="139">
        <v>0</v>
      </c>
      <c r="Z39" s="140">
        <v>0</v>
      </c>
      <c r="AA39" s="138"/>
      <c r="AB39" s="136"/>
      <c r="AC39" s="141"/>
      <c r="AD39" s="164">
        <v>0.2</v>
      </c>
      <c r="AE39" s="274">
        <v>0</v>
      </c>
      <c r="AF39" s="170"/>
      <c r="AG39" s="171"/>
      <c r="AH39" s="171" t="str">
        <f>"" &amp; TEXT(AE39,"#0.00%") &amp; " " &amp; "Service" &amp; " " &amp; IF(P39="","",TEXT(P39,"M/D-")) &amp; IF(Q39="","",TEXT(Q39,"M/D")) &amp; " "</f>
        <v xml:space="preserve">0.00% Service 9/1-9/8 </v>
      </c>
      <c r="AI39" s="171"/>
      <c r="AJ39" s="171"/>
      <c r="AK39" s="171"/>
      <c r="AL39" s="171"/>
      <c r="AM39" s="171"/>
      <c r="AN39" s="171"/>
      <c r="AO39" s="171"/>
      <c r="AP39" s="171"/>
      <c r="AQ39" s="171"/>
      <c r="AR39" s="171"/>
      <c r="AS39" s="171"/>
      <c r="AT39" s="171"/>
    </row>
    <row r="40" spans="1:46" ht="12" customHeight="1" outlineLevel="5">
      <c r="A40" s="135"/>
      <c r="B40" s="135"/>
      <c r="C40" s="135">
        <v>6</v>
      </c>
      <c r="D40" s="165" t="s">
        <v>1650</v>
      </c>
      <c r="E40" s="136"/>
      <c r="F40" s="136"/>
      <c r="G40" s="136"/>
      <c r="H40" s="136"/>
      <c r="I40" s="136"/>
      <c r="J40" s="136" t="s">
        <v>1618</v>
      </c>
      <c r="K40" s="136"/>
      <c r="L40" s="136"/>
      <c r="M40" s="136"/>
      <c r="N40" s="136"/>
      <c r="O40" s="136"/>
      <c r="P40" s="137">
        <v>45536</v>
      </c>
      <c r="Q40" s="137">
        <v>45543</v>
      </c>
      <c r="R40" s="136"/>
      <c r="S40" s="138">
        <v>5</v>
      </c>
      <c r="T40" s="138">
        <v>1</v>
      </c>
      <c r="U40" s="138">
        <v>5</v>
      </c>
      <c r="V40" s="138">
        <v>1</v>
      </c>
      <c r="W40" s="137"/>
      <c r="X40" s="137"/>
      <c r="Y40" s="139"/>
      <c r="Z40" s="140">
        <v>0</v>
      </c>
      <c r="AA40" s="138"/>
      <c r="AB40" s="136" t="s">
        <v>1627</v>
      </c>
      <c r="AC40" s="141"/>
      <c r="AD40" s="164">
        <v>0.2</v>
      </c>
      <c r="AE40" s="273">
        <v>0</v>
      </c>
      <c r="AF40" s="170"/>
      <c r="AG40" s="171"/>
      <c r="AH40" s="171" t="str">
        <f>"" &amp; TEXT(AE40,"#0.00%") &amp; " " &amp; "회원 기능" &amp; "(전경섭)" &amp; " " &amp; IF(P40="","",TEXT(P40,"M/D-")) &amp; IF(Q40="","",TEXT(Q40,"M/D")) &amp; " "</f>
        <v xml:space="preserve">0.00% 회원 기능(전경섭) 9/1-9/8 </v>
      </c>
      <c r="AI40" s="171"/>
      <c r="AJ40" s="171"/>
      <c r="AK40" s="171"/>
      <c r="AL40" s="171"/>
      <c r="AM40" s="171"/>
      <c r="AN40" s="171"/>
      <c r="AO40" s="171"/>
      <c r="AP40" s="171"/>
      <c r="AQ40" s="171"/>
      <c r="AR40" s="171"/>
      <c r="AS40" s="171"/>
      <c r="AT40" s="171"/>
    </row>
    <row r="41" spans="1:46" ht="12" customHeight="1" outlineLevel="5">
      <c r="A41" s="135"/>
      <c r="B41" s="135"/>
      <c r="C41" s="135">
        <v>6</v>
      </c>
      <c r="D41" s="165" t="s">
        <v>1651</v>
      </c>
      <c r="E41" s="136"/>
      <c r="F41" s="136"/>
      <c r="G41" s="136"/>
      <c r="H41" s="136"/>
      <c r="I41" s="136"/>
      <c r="J41" s="136" t="s">
        <v>1619</v>
      </c>
      <c r="K41" s="136"/>
      <c r="L41" s="136"/>
      <c r="M41" s="136"/>
      <c r="N41" s="136"/>
      <c r="O41" s="136"/>
      <c r="P41" s="137">
        <v>45536</v>
      </c>
      <c r="Q41" s="137">
        <v>45543</v>
      </c>
      <c r="R41" s="136"/>
      <c r="S41" s="138">
        <v>5</v>
      </c>
      <c r="T41" s="138">
        <v>1</v>
      </c>
      <c r="U41" s="138">
        <v>5</v>
      </c>
      <c r="V41" s="138">
        <v>1</v>
      </c>
      <c r="W41" s="137"/>
      <c r="X41" s="137"/>
      <c r="Y41" s="139"/>
      <c r="Z41" s="140">
        <v>0</v>
      </c>
      <c r="AA41" s="138"/>
      <c r="AB41" s="136" t="s">
        <v>1602</v>
      </c>
      <c r="AC41" s="141"/>
      <c r="AD41" s="164">
        <v>0.2</v>
      </c>
      <c r="AE41" s="273">
        <v>0</v>
      </c>
      <c r="AF41" s="170"/>
      <c r="AG41" s="171"/>
      <c r="AH41" s="171" t="str">
        <f>"" &amp; TEXT(AE41,"#0.00%") &amp; " " &amp; "그룹 기능" &amp; "(김명준)" &amp; " " &amp; IF(P41="","",TEXT(P41,"M/D-")) &amp; IF(Q41="","",TEXT(Q41,"M/D")) &amp; " "</f>
        <v xml:space="preserve">0.00% 그룹 기능(김명준) 9/1-9/8 </v>
      </c>
      <c r="AI41" s="171"/>
      <c r="AJ41" s="171"/>
      <c r="AK41" s="171"/>
      <c r="AL41" s="171"/>
      <c r="AM41" s="171"/>
      <c r="AN41" s="171"/>
      <c r="AO41" s="171"/>
      <c r="AP41" s="171"/>
      <c r="AQ41" s="171"/>
      <c r="AR41" s="171"/>
      <c r="AS41" s="171"/>
      <c r="AT41" s="171"/>
    </row>
    <row r="42" spans="1:46" ht="12" customHeight="1" outlineLevel="5">
      <c r="A42" s="135"/>
      <c r="B42" s="135"/>
      <c r="C42" s="135">
        <v>6</v>
      </c>
      <c r="D42" s="165" t="s">
        <v>1652</v>
      </c>
      <c r="E42" s="136"/>
      <c r="F42" s="136"/>
      <c r="G42" s="136"/>
      <c r="H42" s="136"/>
      <c r="I42" s="136"/>
      <c r="J42" s="136" t="s">
        <v>1620</v>
      </c>
      <c r="K42" s="136"/>
      <c r="L42" s="136"/>
      <c r="M42" s="136"/>
      <c r="N42" s="136"/>
      <c r="O42" s="136"/>
      <c r="P42" s="137">
        <v>45536</v>
      </c>
      <c r="Q42" s="137">
        <v>45543</v>
      </c>
      <c r="R42" s="136"/>
      <c r="S42" s="138">
        <v>5</v>
      </c>
      <c r="T42" s="138">
        <v>1</v>
      </c>
      <c r="U42" s="138">
        <v>5</v>
      </c>
      <c r="V42" s="138">
        <v>1</v>
      </c>
      <c r="W42" s="137"/>
      <c r="X42" s="137"/>
      <c r="Y42" s="139"/>
      <c r="Z42" s="140">
        <v>0</v>
      </c>
      <c r="AA42" s="138"/>
      <c r="AB42" s="136" t="s">
        <v>1602</v>
      </c>
      <c r="AC42" s="141"/>
      <c r="AD42" s="164">
        <v>0.2</v>
      </c>
      <c r="AE42" s="273">
        <v>0</v>
      </c>
      <c r="AF42" s="170"/>
      <c r="AG42" s="171"/>
      <c r="AH42" s="171" t="str">
        <f>"" &amp; TEXT(AE42,"#0.00%") &amp; " " &amp; "앨범 기능" &amp; "(김명준)" &amp; " " &amp; IF(P42="","",TEXT(P42,"M/D-")) &amp; IF(Q42="","",TEXT(Q42,"M/D")) &amp; " "</f>
        <v xml:space="preserve">0.00% 앨범 기능(김명준) 9/1-9/8 </v>
      </c>
      <c r="AI42" s="171"/>
      <c r="AJ42" s="171"/>
      <c r="AK42" s="171"/>
      <c r="AL42" s="171"/>
      <c r="AM42" s="171"/>
      <c r="AN42" s="171"/>
      <c r="AO42" s="171"/>
      <c r="AP42" s="171"/>
      <c r="AQ42" s="171"/>
      <c r="AR42" s="171"/>
      <c r="AS42" s="171"/>
      <c r="AT42" s="171"/>
    </row>
    <row r="43" spans="1:46" ht="12" customHeight="1" outlineLevel="5">
      <c r="A43" s="135"/>
      <c r="B43" s="135"/>
      <c r="C43" s="135">
        <v>6</v>
      </c>
      <c r="D43" s="165" t="s">
        <v>1653</v>
      </c>
      <c r="E43" s="136"/>
      <c r="F43" s="136"/>
      <c r="G43" s="136"/>
      <c r="H43" s="136"/>
      <c r="I43" s="136"/>
      <c r="J43" s="136" t="s">
        <v>1621</v>
      </c>
      <c r="K43" s="136"/>
      <c r="L43" s="136"/>
      <c r="M43" s="136"/>
      <c r="N43" s="136"/>
      <c r="O43" s="136"/>
      <c r="P43" s="137">
        <v>45536</v>
      </c>
      <c r="Q43" s="137">
        <v>45543</v>
      </c>
      <c r="R43" s="136"/>
      <c r="S43" s="138">
        <v>5</v>
      </c>
      <c r="T43" s="138">
        <v>1</v>
      </c>
      <c r="U43" s="138">
        <v>5</v>
      </c>
      <c r="V43" s="138">
        <v>1</v>
      </c>
      <c r="W43" s="137"/>
      <c r="X43" s="137"/>
      <c r="Y43" s="139"/>
      <c r="Z43" s="140">
        <v>0</v>
      </c>
      <c r="AA43" s="138"/>
      <c r="AB43" s="136" t="s">
        <v>1602</v>
      </c>
      <c r="AC43" s="141"/>
      <c r="AD43" s="164">
        <v>0.2</v>
      </c>
      <c r="AE43" s="273">
        <v>0</v>
      </c>
      <c r="AF43" s="170"/>
      <c r="AG43" s="171"/>
      <c r="AH43" s="171" t="str">
        <f>"" &amp; TEXT(AE43,"#0.00%") &amp; " " &amp; "사진 기능" &amp; "(김명준)" &amp; " " &amp; IF(P43="","",TEXT(P43,"M/D-")) &amp; IF(Q43="","",TEXT(Q43,"M/D")) &amp; " "</f>
        <v xml:space="preserve">0.00% 사진 기능(김명준) 9/1-9/8 </v>
      </c>
      <c r="AI43" s="171"/>
      <c r="AJ43" s="171"/>
      <c r="AK43" s="171"/>
      <c r="AL43" s="171"/>
      <c r="AM43" s="171"/>
      <c r="AN43" s="171"/>
      <c r="AO43" s="171"/>
      <c r="AP43" s="171"/>
      <c r="AQ43" s="171"/>
      <c r="AR43" s="171"/>
      <c r="AS43" s="171"/>
      <c r="AT43" s="171"/>
    </row>
    <row r="44" spans="1:46" ht="12" customHeight="1" outlineLevel="5">
      <c r="A44" s="135"/>
      <c r="B44" s="135"/>
      <c r="C44" s="135">
        <v>6</v>
      </c>
      <c r="D44" s="165" t="s">
        <v>1654</v>
      </c>
      <c r="E44" s="136"/>
      <c r="F44" s="136"/>
      <c r="G44" s="136"/>
      <c r="H44" s="136"/>
      <c r="I44" s="136"/>
      <c r="J44" s="136" t="s">
        <v>1622</v>
      </c>
      <c r="K44" s="136"/>
      <c r="L44" s="136"/>
      <c r="M44" s="136"/>
      <c r="N44" s="136"/>
      <c r="O44" s="136"/>
      <c r="P44" s="137">
        <v>45536</v>
      </c>
      <c r="Q44" s="137">
        <v>45543</v>
      </c>
      <c r="R44" s="136"/>
      <c r="S44" s="138">
        <v>5</v>
      </c>
      <c r="T44" s="138">
        <v>1</v>
      </c>
      <c r="U44" s="138">
        <v>5</v>
      </c>
      <c r="V44" s="138">
        <v>1</v>
      </c>
      <c r="W44" s="137"/>
      <c r="X44" s="137"/>
      <c r="Y44" s="139"/>
      <c r="Z44" s="140">
        <v>0</v>
      </c>
      <c r="AA44" s="138"/>
      <c r="AB44" s="136" t="s">
        <v>1627</v>
      </c>
      <c r="AC44" s="141"/>
      <c r="AD44" s="164">
        <v>0.2</v>
      </c>
      <c r="AE44" s="273">
        <v>0</v>
      </c>
      <c r="AF44" s="170"/>
      <c r="AG44" s="171"/>
      <c r="AH44" s="171" t="str">
        <f>"" &amp; TEXT(AE44,"#0.00%") &amp; " " &amp; "친구 기능" &amp; "(전경섭)" &amp; " " &amp; IF(P44="","",TEXT(P44,"M/D-")) &amp; IF(Q44="","",TEXT(Q44,"M/D")) &amp; " "</f>
        <v xml:space="preserve">0.00% 친구 기능(전경섭) 9/1-9/8 </v>
      </c>
      <c r="AI44" s="171"/>
      <c r="AJ44" s="171"/>
      <c r="AK44" s="171"/>
      <c r="AL44" s="171"/>
      <c r="AM44" s="171"/>
      <c r="AN44" s="171"/>
      <c r="AO44" s="171"/>
      <c r="AP44" s="171"/>
      <c r="AQ44" s="171"/>
      <c r="AR44" s="171"/>
      <c r="AS44" s="171"/>
      <c r="AT44" s="171"/>
    </row>
    <row r="45" spans="1:46" ht="12" customHeight="1" outlineLevel="5">
      <c r="A45" s="135"/>
      <c r="B45" s="135"/>
      <c r="C45" s="135">
        <v>6</v>
      </c>
      <c r="D45" s="165" t="s">
        <v>1674</v>
      </c>
      <c r="E45" s="136"/>
      <c r="F45" s="136"/>
      <c r="G45" s="136"/>
      <c r="H45" s="136"/>
      <c r="I45" s="136"/>
      <c r="J45" s="136" t="s">
        <v>1666</v>
      </c>
      <c r="K45" s="136"/>
      <c r="L45" s="136"/>
      <c r="M45" s="136"/>
      <c r="N45" s="136"/>
      <c r="O45" s="136"/>
      <c r="P45" s="137"/>
      <c r="Q45" s="137"/>
      <c r="R45" s="136"/>
      <c r="S45" s="138">
        <v>0</v>
      </c>
      <c r="T45" s="138">
        <v>0</v>
      </c>
      <c r="U45" s="138">
        <v>0</v>
      </c>
      <c r="V45" s="138">
        <v>0</v>
      </c>
      <c r="W45" s="137"/>
      <c r="X45" s="137"/>
      <c r="Y45" s="139">
        <v>0</v>
      </c>
      <c r="Z45" s="140">
        <v>0</v>
      </c>
      <c r="AA45" s="138"/>
      <c r="AB45" s="136" t="s">
        <v>1602</v>
      </c>
      <c r="AC45" s="141"/>
      <c r="AD45" s="164">
        <v>0</v>
      </c>
      <c r="AE45" s="272">
        <v>0</v>
      </c>
      <c r="AF45" s="170"/>
      <c r="AG45" s="171"/>
      <c r="AH45" s="171"/>
      <c r="AI45" s="171"/>
      <c r="AJ45" s="171"/>
      <c r="AK45" s="171"/>
      <c r="AL45" s="171"/>
      <c r="AM45" s="171"/>
      <c r="AN45" s="171"/>
      <c r="AO45" s="171"/>
      <c r="AP45" s="171"/>
      <c r="AQ45" s="171"/>
      <c r="AR45" s="171"/>
      <c r="AS45" s="171"/>
      <c r="AT45" s="171"/>
    </row>
    <row r="46" spans="1:46" ht="12" customHeight="1" outlineLevel="4">
      <c r="A46" s="135"/>
      <c r="B46" s="135" t="s">
        <v>1373</v>
      </c>
      <c r="C46" s="135">
        <v>5</v>
      </c>
      <c r="D46" s="165" t="s">
        <v>1655</v>
      </c>
      <c r="E46" s="136"/>
      <c r="F46" s="136"/>
      <c r="G46" s="136"/>
      <c r="H46" s="136"/>
      <c r="I46" s="136" t="s">
        <v>1624</v>
      </c>
      <c r="J46" s="136"/>
      <c r="K46" s="136"/>
      <c r="L46" s="136"/>
      <c r="M46" s="136"/>
      <c r="N46" s="136"/>
      <c r="O46" s="136"/>
      <c r="P46" s="137">
        <v>45535</v>
      </c>
      <c r="Q46" s="137">
        <v>45536</v>
      </c>
      <c r="R46" s="136"/>
      <c r="S46" s="138">
        <v>0</v>
      </c>
      <c r="T46" s="138">
        <v>0</v>
      </c>
      <c r="U46" s="138">
        <v>0</v>
      </c>
      <c r="V46" s="138">
        <v>0</v>
      </c>
      <c r="W46" s="137"/>
      <c r="X46" s="137"/>
      <c r="Y46" s="139">
        <v>0</v>
      </c>
      <c r="Z46" s="140">
        <v>0</v>
      </c>
      <c r="AA46" s="138"/>
      <c r="AB46" s="136"/>
      <c r="AC46" s="141"/>
      <c r="AD46" s="164">
        <v>0</v>
      </c>
      <c r="AE46" s="202">
        <v>0</v>
      </c>
      <c r="AF46" s="170"/>
      <c r="AG46" s="171" t="str">
        <f>"      " &amp; TEXT(AE46,"#0.00%") &amp; " " &amp; "Repository" &amp; " " &amp; IF(P46="","",TEXT(P46,"M/D-")) &amp; IF(Q46="","",TEXT(Q46,"M/D")) &amp; " "</f>
        <v xml:space="preserve">      0.00% Repository 8/31-9/1 </v>
      </c>
      <c r="AH46" s="171"/>
      <c r="AI46" s="171"/>
      <c r="AJ46" s="171"/>
      <c r="AK46" s="171"/>
      <c r="AL46" s="171"/>
      <c r="AM46" s="171"/>
      <c r="AN46" s="171"/>
      <c r="AO46" s="171"/>
      <c r="AP46" s="171"/>
      <c r="AQ46" s="171"/>
      <c r="AR46" s="171"/>
      <c r="AS46" s="171"/>
      <c r="AT46" s="171"/>
    </row>
    <row r="47" spans="1:46" ht="12" customHeight="1" outlineLevel="5">
      <c r="A47" s="135"/>
      <c r="B47" s="135"/>
      <c r="C47" s="135">
        <v>6</v>
      </c>
      <c r="D47" s="165" t="s">
        <v>1656</v>
      </c>
      <c r="E47" s="136"/>
      <c r="F47" s="136"/>
      <c r="G47" s="136"/>
      <c r="H47" s="136"/>
      <c r="I47" s="136"/>
      <c r="J47" s="136" t="s">
        <v>1618</v>
      </c>
      <c r="K47" s="136"/>
      <c r="L47" s="136"/>
      <c r="M47" s="136"/>
      <c r="N47" s="136"/>
      <c r="O47" s="136"/>
      <c r="P47" s="137">
        <v>45535</v>
      </c>
      <c r="Q47" s="137">
        <v>45536</v>
      </c>
      <c r="R47" s="136"/>
      <c r="S47" s="138">
        <v>0</v>
      </c>
      <c r="T47" s="138">
        <v>0</v>
      </c>
      <c r="U47" s="138">
        <v>0</v>
      </c>
      <c r="V47" s="138">
        <v>0</v>
      </c>
      <c r="W47" s="137"/>
      <c r="X47" s="137"/>
      <c r="Y47" s="139"/>
      <c r="Z47" s="140">
        <v>0</v>
      </c>
      <c r="AA47" s="138"/>
      <c r="AB47" s="136" t="s">
        <v>1602</v>
      </c>
      <c r="AC47" s="141"/>
      <c r="AD47" s="164">
        <v>0</v>
      </c>
      <c r="AE47" s="203">
        <v>1</v>
      </c>
      <c r="AF47" s="170"/>
      <c r="AG47" s="171"/>
      <c r="AH47" s="171" t="str">
        <f>" " &amp; TEXT(AE47,"#0.00%") &amp; " " &amp; "회원 기능" &amp; "(김명준)" &amp; " " &amp; IF(P47="","",TEXT(P47,"M/D-")) &amp; IF(Q47="","",TEXT(Q47,"M/D")) &amp; " "</f>
        <v xml:space="preserve"> 100.00% 회원 기능(김명준) 8/31-9/1 </v>
      </c>
      <c r="AI47" s="171"/>
      <c r="AJ47" s="171"/>
      <c r="AK47" s="171"/>
      <c r="AL47" s="171"/>
      <c r="AM47" s="171"/>
      <c r="AN47" s="171"/>
      <c r="AO47" s="171"/>
      <c r="AP47" s="171"/>
      <c r="AQ47" s="171"/>
      <c r="AR47" s="171"/>
      <c r="AS47" s="171"/>
      <c r="AT47" s="171"/>
    </row>
    <row r="48" spans="1:46" ht="12" customHeight="1" outlineLevel="5">
      <c r="A48" s="135"/>
      <c r="B48" s="135"/>
      <c r="C48" s="135">
        <v>6</v>
      </c>
      <c r="D48" s="165" t="s">
        <v>1657</v>
      </c>
      <c r="E48" s="136"/>
      <c r="F48" s="136"/>
      <c r="G48" s="136"/>
      <c r="H48" s="136"/>
      <c r="I48" s="136"/>
      <c r="J48" s="136" t="s">
        <v>1619</v>
      </c>
      <c r="K48" s="136"/>
      <c r="L48" s="136"/>
      <c r="M48" s="136"/>
      <c r="N48" s="136"/>
      <c r="O48" s="136"/>
      <c r="P48" s="137">
        <v>45535</v>
      </c>
      <c r="Q48" s="137">
        <v>45536</v>
      </c>
      <c r="R48" s="136"/>
      <c r="S48" s="138">
        <v>0</v>
      </c>
      <c r="T48" s="138">
        <v>0</v>
      </c>
      <c r="U48" s="138">
        <v>0</v>
      </c>
      <c r="V48" s="138">
        <v>0</v>
      </c>
      <c r="W48" s="137"/>
      <c r="X48" s="137"/>
      <c r="Y48" s="139"/>
      <c r="Z48" s="140">
        <v>0</v>
      </c>
      <c r="AA48" s="138"/>
      <c r="AB48" s="136" t="s">
        <v>1602</v>
      </c>
      <c r="AC48" s="141"/>
      <c r="AD48" s="164">
        <v>0</v>
      </c>
      <c r="AE48" s="203">
        <v>1</v>
      </c>
      <c r="AF48" s="170"/>
      <c r="AG48" s="171"/>
      <c r="AH48" s="171" t="str">
        <f>" " &amp; TEXT(AE48,"#0.00%") &amp; " " &amp; "그룹 기능" &amp; "(김명준)" &amp; " " &amp; IF(P48="","",TEXT(P48,"M/D-")) &amp; IF(Q48="","",TEXT(Q48,"M/D")) &amp; " "</f>
        <v xml:space="preserve"> 100.00% 그룹 기능(김명준) 8/31-9/1 </v>
      </c>
      <c r="AI48" s="171"/>
      <c r="AJ48" s="171"/>
      <c r="AK48" s="171"/>
      <c r="AL48" s="171"/>
      <c r="AM48" s="171"/>
      <c r="AN48" s="171"/>
      <c r="AO48" s="171"/>
      <c r="AP48" s="171"/>
      <c r="AQ48" s="171"/>
      <c r="AR48" s="171"/>
      <c r="AS48" s="171"/>
      <c r="AT48" s="171"/>
    </row>
    <row r="49" spans="1:46" ht="12" customHeight="1" outlineLevel="5">
      <c r="A49" s="135"/>
      <c r="B49" s="135"/>
      <c r="C49" s="135">
        <v>6</v>
      </c>
      <c r="D49" s="165" t="s">
        <v>1658</v>
      </c>
      <c r="E49" s="136"/>
      <c r="F49" s="136"/>
      <c r="G49" s="136"/>
      <c r="H49" s="136"/>
      <c r="I49" s="136"/>
      <c r="J49" s="136" t="s">
        <v>1620</v>
      </c>
      <c r="K49" s="136"/>
      <c r="L49" s="136"/>
      <c r="M49" s="136"/>
      <c r="N49" s="136"/>
      <c r="O49" s="136"/>
      <c r="P49" s="137">
        <v>45535</v>
      </c>
      <c r="Q49" s="137">
        <v>45536</v>
      </c>
      <c r="R49" s="136"/>
      <c r="S49" s="138">
        <v>0</v>
      </c>
      <c r="T49" s="138">
        <v>0</v>
      </c>
      <c r="U49" s="138">
        <v>0</v>
      </c>
      <c r="V49" s="138">
        <v>0</v>
      </c>
      <c r="W49" s="137"/>
      <c r="X49" s="137"/>
      <c r="Y49" s="139"/>
      <c r="Z49" s="140">
        <v>0</v>
      </c>
      <c r="AA49" s="138"/>
      <c r="AB49" s="136" t="s">
        <v>1602</v>
      </c>
      <c r="AC49" s="141"/>
      <c r="AD49" s="164">
        <v>0</v>
      </c>
      <c r="AE49" s="203">
        <v>1</v>
      </c>
      <c r="AF49" s="170"/>
      <c r="AG49" s="171"/>
      <c r="AH49" s="171" t="str">
        <f>" " &amp; TEXT(AE49,"#0.00%") &amp; " " &amp; "앨범 기능" &amp; "(김명준)" &amp; " " &amp; IF(P49="","",TEXT(P49,"M/D-")) &amp; IF(Q49="","",TEXT(Q49,"M/D")) &amp; " "</f>
        <v xml:space="preserve"> 100.00% 앨범 기능(김명준) 8/31-9/1 </v>
      </c>
      <c r="AI49" s="171"/>
      <c r="AJ49" s="171"/>
      <c r="AK49" s="171"/>
      <c r="AL49" s="171"/>
      <c r="AM49" s="171"/>
      <c r="AN49" s="171"/>
      <c r="AO49" s="171"/>
      <c r="AP49" s="171"/>
      <c r="AQ49" s="171"/>
      <c r="AR49" s="171"/>
      <c r="AS49" s="171"/>
      <c r="AT49" s="171"/>
    </row>
    <row r="50" spans="1:46" ht="12" customHeight="1" outlineLevel="5">
      <c r="A50" s="135"/>
      <c r="B50" s="135"/>
      <c r="C50" s="135">
        <v>6</v>
      </c>
      <c r="D50" s="165" t="s">
        <v>1659</v>
      </c>
      <c r="E50" s="136"/>
      <c r="F50" s="136"/>
      <c r="G50" s="136"/>
      <c r="H50" s="136"/>
      <c r="I50" s="136"/>
      <c r="J50" s="136" t="s">
        <v>1621</v>
      </c>
      <c r="K50" s="136"/>
      <c r="L50" s="136"/>
      <c r="M50" s="136"/>
      <c r="N50" s="136"/>
      <c r="O50" s="136"/>
      <c r="P50" s="137">
        <v>45535</v>
      </c>
      <c r="Q50" s="137">
        <v>45536</v>
      </c>
      <c r="R50" s="136"/>
      <c r="S50" s="138">
        <v>0</v>
      </c>
      <c r="T50" s="138">
        <v>0</v>
      </c>
      <c r="U50" s="138">
        <v>0</v>
      </c>
      <c r="V50" s="138">
        <v>0</v>
      </c>
      <c r="W50" s="137"/>
      <c r="X50" s="137"/>
      <c r="Y50" s="139"/>
      <c r="Z50" s="140">
        <v>0</v>
      </c>
      <c r="AA50" s="138"/>
      <c r="AB50" s="136" t="s">
        <v>1602</v>
      </c>
      <c r="AC50" s="141"/>
      <c r="AD50" s="164">
        <v>0</v>
      </c>
      <c r="AE50" s="203">
        <v>1</v>
      </c>
      <c r="AF50" s="170"/>
      <c r="AG50" s="171"/>
      <c r="AH50" s="171" t="str">
        <f>" " &amp; TEXT(AE50,"#0.00%") &amp; " " &amp; "사진 기능" &amp; "(김명준)" &amp; " " &amp; IF(P50="","",TEXT(P50,"M/D-")) &amp; IF(Q50="","",TEXT(Q50,"M/D")) &amp; " "</f>
        <v xml:space="preserve"> 100.00% 사진 기능(김명준) 8/31-9/1 </v>
      </c>
      <c r="AI50" s="171"/>
      <c r="AJ50" s="171"/>
      <c r="AK50" s="171"/>
      <c r="AL50" s="171"/>
      <c r="AM50" s="171"/>
      <c r="AN50" s="171"/>
      <c r="AO50" s="171"/>
      <c r="AP50" s="171"/>
      <c r="AQ50" s="171"/>
      <c r="AR50" s="171"/>
      <c r="AS50" s="171"/>
      <c r="AT50" s="171"/>
    </row>
    <row r="51" spans="1:46" ht="12" customHeight="1" outlineLevel="5">
      <c r="A51" s="135"/>
      <c r="B51" s="135"/>
      <c r="C51" s="135">
        <v>6</v>
      </c>
      <c r="D51" s="165" t="s">
        <v>1660</v>
      </c>
      <c r="E51" s="136"/>
      <c r="F51" s="136"/>
      <c r="G51" s="136"/>
      <c r="H51" s="136"/>
      <c r="I51" s="136"/>
      <c r="J51" s="136" t="s">
        <v>1622</v>
      </c>
      <c r="K51" s="136"/>
      <c r="L51" s="136"/>
      <c r="M51" s="136"/>
      <c r="N51" s="136"/>
      <c r="O51" s="136"/>
      <c r="P51" s="137">
        <v>45535</v>
      </c>
      <c r="Q51" s="137">
        <v>45536</v>
      </c>
      <c r="R51" s="136"/>
      <c r="S51" s="138">
        <v>0</v>
      </c>
      <c r="T51" s="138">
        <v>0</v>
      </c>
      <c r="U51" s="138">
        <v>0</v>
      </c>
      <c r="V51" s="138">
        <v>0</v>
      </c>
      <c r="W51" s="137"/>
      <c r="X51" s="137"/>
      <c r="Y51" s="139"/>
      <c r="Z51" s="140">
        <v>0</v>
      </c>
      <c r="AA51" s="138"/>
      <c r="AB51" s="136" t="s">
        <v>1602</v>
      </c>
      <c r="AC51" s="141"/>
      <c r="AD51" s="164">
        <v>0</v>
      </c>
      <c r="AE51" s="203">
        <v>1</v>
      </c>
      <c r="AF51" s="170"/>
      <c r="AG51" s="171"/>
      <c r="AH51" s="171" t="str">
        <f>" " &amp; TEXT(AE51,"#0.00%") &amp; " " &amp; "친구 기능" &amp; "(김명준)" &amp; " " &amp; IF(P51="","",TEXT(P51,"M/D-")) &amp; IF(Q51="","",TEXT(Q51,"M/D")) &amp; " "</f>
        <v xml:space="preserve"> 100.00% 친구 기능(김명준) 8/31-9/1 </v>
      </c>
      <c r="AI51" s="171"/>
      <c r="AJ51" s="171"/>
      <c r="AK51" s="171"/>
      <c r="AL51" s="171"/>
      <c r="AM51" s="171"/>
      <c r="AN51" s="171"/>
      <c r="AO51" s="171"/>
      <c r="AP51" s="171"/>
      <c r="AQ51" s="171"/>
      <c r="AR51" s="171"/>
      <c r="AS51" s="171"/>
      <c r="AT51" s="171"/>
    </row>
    <row r="52" spans="1:46" ht="12" customHeight="1" outlineLevel="5">
      <c r="A52" s="135"/>
      <c r="B52" s="135"/>
      <c r="C52" s="135">
        <v>6</v>
      </c>
      <c r="D52" s="165" t="s">
        <v>1675</v>
      </c>
      <c r="E52" s="136"/>
      <c r="F52" s="136"/>
      <c r="G52" s="136"/>
      <c r="H52" s="136"/>
      <c r="I52" s="136"/>
      <c r="J52" s="136" t="s">
        <v>1666</v>
      </c>
      <c r="K52" s="136"/>
      <c r="L52" s="136"/>
      <c r="M52" s="136"/>
      <c r="N52" s="136"/>
      <c r="O52" s="136"/>
      <c r="P52" s="137">
        <v>45535</v>
      </c>
      <c r="Q52" s="137">
        <v>45536</v>
      </c>
      <c r="R52" s="136"/>
      <c r="S52" s="138">
        <v>0</v>
      </c>
      <c r="T52" s="138">
        <v>0</v>
      </c>
      <c r="U52" s="138">
        <v>0</v>
      </c>
      <c r="V52" s="138">
        <v>0</v>
      </c>
      <c r="W52" s="137"/>
      <c r="X52" s="137"/>
      <c r="Y52" s="139"/>
      <c r="Z52" s="140">
        <v>0</v>
      </c>
      <c r="AA52" s="138"/>
      <c r="AB52" s="136" t="s">
        <v>1602</v>
      </c>
      <c r="AC52" s="141"/>
      <c r="AD52" s="164">
        <v>0</v>
      </c>
      <c r="AE52" s="172">
        <v>0</v>
      </c>
      <c r="AF52" s="170"/>
      <c r="AG52" s="171" t="str">
        <f>"      " &amp; TEXT(AE52,"#0.00%") &amp; " " &amp; "좋아요 기능" &amp; "(김명준)" &amp; " " &amp; IF(P52="","",TEXT(P52,"M/D-")) &amp; IF(Q52="","",TEXT(Q52,"M/D")) &amp; " "</f>
        <v xml:space="preserve">      0.00% 좋아요 기능(김명준) 8/31-9/1 </v>
      </c>
      <c r="AH52" s="171"/>
      <c r="AI52" s="171"/>
      <c r="AJ52" s="171"/>
      <c r="AK52" s="171"/>
      <c r="AL52" s="171"/>
      <c r="AM52" s="171"/>
      <c r="AN52" s="171"/>
      <c r="AO52" s="171"/>
      <c r="AP52" s="171"/>
      <c r="AQ52" s="171"/>
      <c r="AR52" s="171"/>
      <c r="AS52" s="171"/>
      <c r="AT52" s="171"/>
    </row>
    <row r="53" spans="1:46" ht="12" customHeight="1" outlineLevel="1">
      <c r="A53" s="135"/>
      <c r="B53" s="135" t="s">
        <v>1373</v>
      </c>
      <c r="C53" s="135">
        <v>2</v>
      </c>
      <c r="D53" s="165" t="s">
        <v>1661</v>
      </c>
      <c r="E53" s="136"/>
      <c r="F53" s="136" t="s">
        <v>1598</v>
      </c>
      <c r="G53" s="136"/>
      <c r="H53" s="136"/>
      <c r="I53" s="136"/>
      <c r="J53" s="136"/>
      <c r="K53" s="136"/>
      <c r="L53" s="136"/>
      <c r="M53" s="136"/>
      <c r="N53" s="136"/>
      <c r="O53" s="136"/>
      <c r="P53" s="137">
        <v>45566</v>
      </c>
      <c r="Q53" s="137">
        <v>45586</v>
      </c>
      <c r="R53" s="136"/>
      <c r="S53" s="138">
        <v>12</v>
      </c>
      <c r="T53" s="138">
        <v>0</v>
      </c>
      <c r="U53" s="138">
        <v>15</v>
      </c>
      <c r="V53" s="138">
        <v>0</v>
      </c>
      <c r="W53" s="137"/>
      <c r="X53" s="137"/>
      <c r="Y53" s="139">
        <v>0</v>
      </c>
      <c r="Z53" s="140">
        <v>0</v>
      </c>
      <c r="AA53" s="138"/>
      <c r="AB53" s="136"/>
      <c r="AC53" s="141"/>
      <c r="AD53" s="164">
        <v>0</v>
      </c>
      <c r="AE53" s="202">
        <v>0</v>
      </c>
      <c r="AF53" s="170"/>
      <c r="AG53" s="171"/>
      <c r="AH53" s="171"/>
      <c r="AI53" s="171"/>
      <c r="AJ53" s="171"/>
      <c r="AK53" s="171"/>
      <c r="AL53" s="171" t="str">
        <f>"  " &amp; TEXT(AE53,"#0.00%") &amp; " "</f>
        <v xml:space="preserve">  0.00% </v>
      </c>
      <c r="AM53" s="171"/>
      <c r="AN53" s="171"/>
      <c r="AO53" s="171" t="str">
        <f>"  " &amp; "테스트" &amp; " " &amp; IF(P53="","",TEXT(P53,"M/D-")) &amp; IF(Q53="","",TEXT(Q53,"M/D")) &amp; " "</f>
        <v xml:space="preserve">  테스트 10/1-10/21 </v>
      </c>
      <c r="AP53" s="171"/>
      <c r="AQ53" s="171"/>
      <c r="AR53" s="171"/>
      <c r="AS53" s="171"/>
      <c r="AT53" s="171"/>
    </row>
    <row r="54" spans="1:46" ht="12" customHeight="1" outlineLevel="2">
      <c r="A54" s="135"/>
      <c r="B54" s="135"/>
      <c r="C54" s="135">
        <v>3</v>
      </c>
      <c r="D54" s="165" t="s">
        <v>1662</v>
      </c>
      <c r="E54" s="136"/>
      <c r="F54" s="136"/>
      <c r="G54" s="136" t="s">
        <v>1626</v>
      </c>
      <c r="H54" s="136"/>
      <c r="I54" s="136"/>
      <c r="J54" s="136"/>
      <c r="K54" s="136"/>
      <c r="L54" s="136"/>
      <c r="M54" s="136"/>
      <c r="N54" s="136"/>
      <c r="O54" s="136"/>
      <c r="P54" s="137">
        <v>45566</v>
      </c>
      <c r="Q54" s="137">
        <v>45573</v>
      </c>
      <c r="R54" s="136"/>
      <c r="S54" s="138">
        <v>6</v>
      </c>
      <c r="T54" s="138">
        <v>0</v>
      </c>
      <c r="U54" s="138">
        <v>6</v>
      </c>
      <c r="V54" s="138">
        <v>0</v>
      </c>
      <c r="W54" s="137"/>
      <c r="X54" s="137"/>
      <c r="Y54" s="139"/>
      <c r="Z54" s="140">
        <v>0</v>
      </c>
      <c r="AA54" s="138"/>
      <c r="AB54" s="136" t="s">
        <v>1602</v>
      </c>
      <c r="AC54" s="141"/>
      <c r="AD54" s="164">
        <v>0</v>
      </c>
      <c r="AE54" s="172">
        <v>0</v>
      </c>
      <c r="AF54" s="170"/>
      <c r="AG54" s="171"/>
      <c r="AH54" s="171"/>
      <c r="AI54" s="171"/>
      <c r="AJ54" s="171"/>
      <c r="AK54" s="171"/>
      <c r="AL54" s="171" t="str">
        <f>"  " &amp; TEXT(AE54,"#0.00%") &amp; " " &amp; "로컬 테스트" &amp; "(김명준)" &amp; " " &amp; IF(P54="","",TEXT(P54,"M/D-")) &amp; IF(Q54="","",TEXT(Q54,"M/D")) &amp; " "</f>
        <v xml:space="preserve">  0.00% 로컬 테스트(김명준) 10/1-10/8 </v>
      </c>
      <c r="AM54" s="171"/>
      <c r="AN54" s="171"/>
      <c r="AO54" s="171"/>
      <c r="AP54" s="171"/>
      <c r="AQ54" s="171"/>
      <c r="AR54" s="171"/>
      <c r="AS54" s="171"/>
      <c r="AT54" s="171"/>
    </row>
    <row r="55" spans="1:46" ht="12" customHeight="1" outlineLevel="2">
      <c r="A55" s="135"/>
      <c r="B55" s="135"/>
      <c r="C55" s="135">
        <v>3</v>
      </c>
      <c r="D55" s="165" t="s">
        <v>1663</v>
      </c>
      <c r="E55" s="136"/>
      <c r="F55" s="136"/>
      <c r="G55" s="136" t="s">
        <v>1625</v>
      </c>
      <c r="H55" s="136"/>
      <c r="I55" s="136"/>
      <c r="J55" s="136"/>
      <c r="K55" s="136"/>
      <c r="L55" s="136"/>
      <c r="M55" s="136"/>
      <c r="N55" s="136"/>
      <c r="O55" s="136"/>
      <c r="P55" s="137">
        <v>45579</v>
      </c>
      <c r="Q55" s="137">
        <v>45586</v>
      </c>
      <c r="R55" s="136"/>
      <c r="S55" s="138">
        <v>6</v>
      </c>
      <c r="T55" s="138">
        <v>0</v>
      </c>
      <c r="U55" s="138">
        <v>6</v>
      </c>
      <c r="V55" s="138">
        <v>0</v>
      </c>
      <c r="W55" s="137"/>
      <c r="X55" s="137"/>
      <c r="Y55" s="139"/>
      <c r="Z55" s="140">
        <v>0</v>
      </c>
      <c r="AA55" s="138"/>
      <c r="AB55" s="136" t="s">
        <v>1612</v>
      </c>
      <c r="AC55" s="141"/>
      <c r="AD55" s="164">
        <v>0</v>
      </c>
      <c r="AE55" s="172">
        <v>0</v>
      </c>
      <c r="AF55" s="170"/>
      <c r="AG55" s="171"/>
      <c r="AH55" s="171"/>
      <c r="AI55" s="171"/>
      <c r="AJ55" s="171"/>
      <c r="AK55" s="171"/>
      <c r="AL55" s="171"/>
      <c r="AM55" s="171"/>
      <c r="AN55" s="171" t="str">
        <f>" " &amp; TEXT(AE55,"#0.00%") &amp; " " &amp; "클라우드 테스트" &amp; "(이동현)" &amp; " " &amp; IF(P55="","",TEXT(P55,"M/D-")) &amp; IF(Q55="","",TEXT(Q55,"M/D")) &amp; " "</f>
        <v xml:space="preserve"> 0.00% 클라우드 테스트(이동현) 10/14-10/21 </v>
      </c>
      <c r="AO55" s="171"/>
      <c r="AP55" s="171"/>
      <c r="AQ55" s="171"/>
      <c r="AR55" s="171"/>
      <c r="AS55" s="171"/>
      <c r="AT55" s="171"/>
    </row>
    <row r="56" spans="1:46" ht="12" customHeight="1" outlineLevel="1">
      <c r="A56" s="135">
        <v>1</v>
      </c>
      <c r="B56" s="135"/>
      <c r="C56" s="135">
        <v>2</v>
      </c>
      <c r="D56" s="165" t="s">
        <v>1664</v>
      </c>
      <c r="E56" s="136"/>
      <c r="F56" s="136" t="s">
        <v>1599</v>
      </c>
      <c r="G56" s="136"/>
      <c r="H56" s="136"/>
      <c r="I56" s="136"/>
      <c r="J56" s="136"/>
      <c r="K56" s="136"/>
      <c r="L56" s="136"/>
      <c r="M56" s="136"/>
      <c r="N56" s="136"/>
      <c r="O56" s="136"/>
      <c r="P56" s="137">
        <v>45611</v>
      </c>
      <c r="Q56" s="137">
        <v>45612</v>
      </c>
      <c r="R56" s="136"/>
      <c r="S56" s="138">
        <v>0</v>
      </c>
      <c r="T56" s="138">
        <v>0</v>
      </c>
      <c r="U56" s="138">
        <v>1</v>
      </c>
      <c r="V56" s="138">
        <v>0</v>
      </c>
      <c r="W56" s="137"/>
      <c r="X56" s="137"/>
      <c r="Y56" s="139"/>
      <c r="Z56" s="140">
        <v>0</v>
      </c>
      <c r="AA56" s="138"/>
      <c r="AB56" s="136" t="s">
        <v>1601</v>
      </c>
      <c r="AC56" s="141"/>
      <c r="AD56" s="164">
        <v>0</v>
      </c>
      <c r="AE56" s="172">
        <v>0</v>
      </c>
      <c r="AF56" s="170"/>
      <c r="AG56" s="171"/>
      <c r="AH56" s="171"/>
      <c r="AI56" s="171"/>
      <c r="AJ56" s="171"/>
      <c r="AK56" s="171"/>
      <c r="AL56" s="171"/>
      <c r="AM56" s="171"/>
      <c r="AN56" s="171"/>
      <c r="AO56" s="171"/>
      <c r="AP56" s="171"/>
      <c r="AQ56" s="171"/>
      <c r="AR56" s="171" t="str">
        <f>"         " &amp; TEXT(AE56,"#0.00%") &amp; " " &amp; "시스템 오픈" &amp; "(전체)" &amp; " " &amp; IF(P56="","",TEXT(P56,"M/D-")) &amp; IF(Q56="","",TEXT(Q56,"M/D")) &amp; " "</f>
        <v xml:space="preserve">         0.00% 시스템 오픈(전체) 11/15-11/16 </v>
      </c>
      <c r="AS56" s="171"/>
      <c r="AT56" s="171"/>
    </row>
    <row r="57" spans="1:46" ht="12" customHeight="1">
      <c r="A57" s="154"/>
      <c r="B57" s="154"/>
      <c r="C57" s="154"/>
      <c r="D57" s="155"/>
      <c r="E57" s="156"/>
      <c r="F57" s="156"/>
      <c r="G57" s="156"/>
      <c r="H57" s="156"/>
      <c r="I57" s="156"/>
      <c r="J57" s="156"/>
      <c r="K57" s="156"/>
      <c r="L57" s="156"/>
      <c r="M57" s="156"/>
      <c r="N57" s="156"/>
      <c r="O57" s="156"/>
      <c r="P57" s="157"/>
      <c r="Q57" s="157"/>
      <c r="R57" s="156"/>
      <c r="S57" s="158"/>
      <c r="T57" s="158"/>
      <c r="U57" s="158"/>
      <c r="V57" s="158"/>
      <c r="W57" s="157"/>
      <c r="X57" s="157"/>
      <c r="Y57" s="159"/>
      <c r="Z57" s="160"/>
      <c r="AA57" s="158"/>
      <c r="AB57" s="156"/>
      <c r="AC57" s="161"/>
      <c r="AD57" s="162"/>
      <c r="AE57" s="163"/>
      <c r="AF57" s="167"/>
      <c r="AG57" s="167"/>
      <c r="AH57" s="167"/>
      <c r="AI57" s="167"/>
      <c r="AJ57" s="167"/>
      <c r="AK57" s="167"/>
      <c r="AL57" s="167"/>
      <c r="AM57" s="167"/>
      <c r="AN57" s="167"/>
      <c r="AO57" s="167"/>
      <c r="AP57" s="167"/>
      <c r="AQ57" s="167"/>
      <c r="AR57" s="167"/>
      <c r="AS57" s="167"/>
      <c r="AT57" s="167"/>
    </row>
  </sheetData>
  <sheetProtection formatCells="0" formatColumns="0" formatRows="0" insertColumns="0" insertRows="0" insertHyperlinks="0" deleteColumns="0" deleteRows="0" sort="0" autoFilter="0" pivotTables="0"/>
  <dataConsolidate/>
  <mergeCells count="31">
    <mergeCell ref="O3:O4"/>
    <mergeCell ref="AB3:AB4"/>
    <mergeCell ref="AC3:AC4"/>
    <mergeCell ref="AD3:AD4"/>
    <mergeCell ref="A3:A4"/>
    <mergeCell ref="B3:B4"/>
    <mergeCell ref="C3:C4"/>
    <mergeCell ref="D3:D4"/>
    <mergeCell ref="E3:N4"/>
    <mergeCell ref="AR3:AU3"/>
    <mergeCell ref="AR2:AU2"/>
    <mergeCell ref="AE3:AE4"/>
    <mergeCell ref="D2:F2"/>
    <mergeCell ref="AA3:AA4"/>
    <mergeCell ref="P3:P4"/>
    <mergeCell ref="Q3:Q4"/>
    <mergeCell ref="R3:R4"/>
    <mergeCell ref="S3:S4"/>
    <mergeCell ref="Y3:Y4"/>
    <mergeCell ref="Z3:Z4"/>
    <mergeCell ref="T3:T4"/>
    <mergeCell ref="U3:U4"/>
    <mergeCell ref="V3:V4"/>
    <mergeCell ref="W3:W4"/>
    <mergeCell ref="X3:X4"/>
    <mergeCell ref="AF3:AI3"/>
    <mergeCell ref="AF2:AI2"/>
    <mergeCell ref="AJ3:AM3"/>
    <mergeCell ref="AJ2:AM2"/>
    <mergeCell ref="AN3:AQ3"/>
    <mergeCell ref="AN2:AQ2"/>
  </mergeCells>
  <phoneticPr fontId="1" type="noConversion"/>
  <conditionalFormatting sqref="D5:AD56">
    <cfRule type="expression" dxfId="0" priority="1">
      <formula>($B5="G")</formula>
    </cfRule>
  </conditionalFormatting>
  <hyperlinks>
    <hyperlink ref="AF1:BJ1" r:id="rId1" display="https://xlworks.net/xlgantt-project-scheduler/" xr:uid="{26A2F3E7-6583-403A-AEB8-59343F562B2A}"/>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1439</v>
      </c>
      <c r="B1" s="2"/>
      <c r="C1" s="2"/>
      <c r="D1" s="2"/>
      <c r="E1" s="2"/>
      <c r="F1" s="2"/>
      <c r="G1" s="2"/>
      <c r="H1" s="2"/>
      <c r="I1" s="2"/>
      <c r="J1" s="2"/>
      <c r="K1" s="2"/>
      <c r="L1" s="264"/>
      <c r="M1" s="265"/>
      <c r="N1" s="265"/>
      <c r="O1" s="3"/>
      <c r="P1" s="3"/>
      <c r="Q1" s="3"/>
    </row>
    <row r="2" spans="1:17" s="7" customFormat="1" ht="13.8">
      <c r="A2" s="5" t="s">
        <v>1442</v>
      </c>
      <c r="B2" s="6"/>
    </row>
    <row r="3" spans="1:17" s="7" customFormat="1" ht="13.8">
      <c r="A3" s="5" t="s">
        <v>1443</v>
      </c>
      <c r="B3" s="6"/>
    </row>
    <row r="4" spans="1:17" s="7" customFormat="1" ht="13.8">
      <c r="A4" s="266"/>
      <c r="B4" s="266"/>
      <c r="C4" s="8"/>
      <c r="D4" s="9"/>
      <c r="E4" s="9"/>
      <c r="F4" s="9"/>
    </row>
    <row r="5" spans="1:17" s="15" customFormat="1" ht="13.8">
      <c r="A5" s="10"/>
      <c r="B5" s="11"/>
      <c r="C5" s="12"/>
      <c r="D5" s="13"/>
      <c r="E5" s="14"/>
      <c r="F5" s="14"/>
      <c r="G5" s="14"/>
    </row>
    <row r="6" spans="1:17" s="15" customFormat="1" ht="13.8">
      <c r="A6" s="16" t="s">
        <v>1444</v>
      </c>
      <c r="B6" s="17">
        <v>239</v>
      </c>
      <c r="C6" s="15" t="s">
        <v>0</v>
      </c>
      <c r="D6" s="263" t="s">
        <v>1445</v>
      </c>
      <c r="E6" s="263"/>
      <c r="F6" s="263"/>
      <c r="G6" s="26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1446</v>
      </c>
      <c r="B9" s="17">
        <v>31</v>
      </c>
      <c r="C9" s="15" t="s">
        <v>0</v>
      </c>
      <c r="D9" s="262" t="s">
        <v>1447</v>
      </c>
      <c r="E9" s="262"/>
      <c r="F9" s="262"/>
      <c r="G9" s="26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27</v>
      </c>
      <c r="C12" s="15" t="s">
        <v>0</v>
      </c>
      <c r="D12" s="267" t="s">
        <v>1441</v>
      </c>
      <c r="E12" s="262"/>
      <c r="F12" s="262"/>
      <c r="G12" s="26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2" t="s">
        <v>1449</v>
      </c>
      <c r="E15" s="262"/>
      <c r="F15" s="262"/>
      <c r="G15" s="26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1450</v>
      </c>
      <c r="B18" s="39">
        <v>0.1297071129707113</v>
      </c>
      <c r="D18" s="262" t="s">
        <v>1451</v>
      </c>
      <c r="E18" s="262"/>
      <c r="F18" s="262"/>
      <c r="G18" s="26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1452</v>
      </c>
      <c r="B21" s="39">
        <v>0.11297071129707113</v>
      </c>
      <c r="D21" s="262" t="s">
        <v>1453</v>
      </c>
      <c r="E21" s="262"/>
      <c r="F21" s="262"/>
      <c r="G21" s="26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1454</v>
      </c>
      <c r="B24" s="49">
        <f>ACTUAL_RATE-PLANNED_RATE</f>
        <v>-1.6736401673640169E-2</v>
      </c>
      <c r="D24" s="263" t="s">
        <v>1455</v>
      </c>
      <c r="E24" s="263"/>
      <c r="F24" s="263"/>
      <c r="G24" s="26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1582</v>
      </c>
    </row>
    <row r="2" spans="2:15">
      <c r="B2" s="73" t="s">
        <v>1583</v>
      </c>
    </row>
    <row r="3" spans="2:15">
      <c r="B3" s="73" t="s">
        <v>1584</v>
      </c>
    </row>
    <row r="4" spans="2:15">
      <c r="B4" s="206">
        <v>20</v>
      </c>
      <c r="C4" s="73" t="s">
        <v>1585</v>
      </c>
    </row>
    <row r="6" spans="2:15" ht="28.8">
      <c r="B6" s="62" t="s">
        <v>1473</v>
      </c>
      <c r="C6" s="72" t="s">
        <v>1474</v>
      </c>
      <c r="D6" s="72" t="s">
        <v>1</v>
      </c>
      <c r="E6" s="72" t="s">
        <v>2</v>
      </c>
      <c r="F6" s="268" t="s">
        <v>1586</v>
      </c>
      <c r="G6" s="269"/>
      <c r="H6" s="269"/>
      <c r="I6" s="269"/>
      <c r="J6" s="269"/>
      <c r="K6" s="269"/>
      <c r="L6" s="269"/>
      <c r="M6" s="269"/>
      <c r="N6" s="269"/>
      <c r="O6" s="269"/>
    </row>
    <row r="7" spans="2:15">
      <c r="B7" s="197">
        <v>44701</v>
      </c>
      <c r="C7" s="197">
        <v>44702</v>
      </c>
      <c r="D7" s="198">
        <v>2</v>
      </c>
      <c r="E7" s="208">
        <f>D7/$B$4</f>
        <v>0.1</v>
      </c>
      <c r="F7" s="209" t="str">
        <f t="shared" ref="F7:F28" si="0">REPT("|",IF(D7&gt;0,IF(D7/1&lt;1,1,D7/1)))</f>
        <v>||</v>
      </c>
      <c r="G7" s="198"/>
      <c r="H7" s="198"/>
      <c r="I7" s="198"/>
      <c r="J7" s="198"/>
      <c r="K7" s="198"/>
      <c r="L7" s="198"/>
      <c r="M7" s="198"/>
      <c r="N7" s="198"/>
      <c r="O7" s="198"/>
    </row>
    <row r="8" spans="2:15">
      <c r="B8" s="199">
        <v>44703</v>
      </c>
      <c r="C8" s="199">
        <v>44709</v>
      </c>
      <c r="D8" s="200">
        <v>8</v>
      </c>
      <c r="E8" s="210">
        <f t="shared" ref="E8:E28" si="1">D8/$B$4</f>
        <v>0.4</v>
      </c>
      <c r="F8" s="211" t="str">
        <f t="shared" si="0"/>
        <v>||||||||</v>
      </c>
      <c r="G8" s="200"/>
      <c r="H8" s="200"/>
      <c r="I8" s="200"/>
      <c r="J8" s="200"/>
      <c r="K8" s="200"/>
      <c r="L8" s="200"/>
      <c r="M8" s="200"/>
      <c r="N8" s="200"/>
      <c r="O8" s="200"/>
    </row>
    <row r="9" spans="2:15">
      <c r="B9" s="199">
        <v>44710</v>
      </c>
      <c r="C9" s="199">
        <v>44716</v>
      </c>
      <c r="D9" s="200">
        <v>15.8</v>
      </c>
      <c r="E9" s="210">
        <f t="shared" si="1"/>
        <v>0.79</v>
      </c>
      <c r="F9" s="211" t="str">
        <f t="shared" si="0"/>
        <v>|||||||||||||||</v>
      </c>
      <c r="G9" s="200"/>
      <c r="H9" s="200"/>
      <c r="I9" s="200"/>
      <c r="J9" s="200"/>
      <c r="K9" s="200"/>
      <c r="L9" s="200"/>
      <c r="M9" s="200"/>
      <c r="N9" s="200"/>
      <c r="O9" s="200"/>
    </row>
    <row r="10" spans="2:15">
      <c r="B10" s="199">
        <v>44717</v>
      </c>
      <c r="C10" s="199">
        <v>44723</v>
      </c>
      <c r="D10" s="200">
        <v>14.8</v>
      </c>
      <c r="E10" s="210">
        <f t="shared" si="1"/>
        <v>0.74</v>
      </c>
      <c r="F10" s="211" t="str">
        <f t="shared" si="0"/>
        <v>||||||||||||||</v>
      </c>
      <c r="G10" s="200"/>
      <c r="H10" s="200"/>
      <c r="I10" s="200"/>
      <c r="J10" s="200"/>
      <c r="K10" s="200"/>
      <c r="L10" s="200"/>
      <c r="M10" s="200"/>
      <c r="N10" s="200"/>
      <c r="O10" s="200"/>
    </row>
    <row r="11" spans="2:15">
      <c r="B11" s="199">
        <v>44724</v>
      </c>
      <c r="C11" s="199">
        <v>44730</v>
      </c>
      <c r="D11" s="200">
        <v>5.8</v>
      </c>
      <c r="E11" s="210">
        <f t="shared" si="1"/>
        <v>0.28999999999999998</v>
      </c>
      <c r="F11" s="211" t="str">
        <f t="shared" si="0"/>
        <v>|||||</v>
      </c>
      <c r="G11" s="200"/>
      <c r="H11" s="200"/>
      <c r="I11" s="200"/>
      <c r="J11" s="200"/>
      <c r="K11" s="200"/>
      <c r="L11" s="200"/>
      <c r="M11" s="200"/>
      <c r="N11" s="200"/>
      <c r="O11" s="200"/>
    </row>
    <row r="12" spans="2:15">
      <c r="B12" s="199">
        <v>44731</v>
      </c>
      <c r="C12" s="199">
        <v>44737</v>
      </c>
      <c r="D12" s="200">
        <v>10</v>
      </c>
      <c r="E12" s="210">
        <f t="shared" si="1"/>
        <v>0.5</v>
      </c>
      <c r="F12" s="211" t="str">
        <f t="shared" si="0"/>
        <v>||||||||||</v>
      </c>
      <c r="G12" s="200"/>
      <c r="H12" s="200"/>
      <c r="I12" s="200"/>
      <c r="J12" s="200"/>
      <c r="K12" s="200"/>
      <c r="L12" s="200"/>
      <c r="M12" s="200"/>
      <c r="N12" s="200"/>
      <c r="O12" s="200"/>
    </row>
    <row r="13" spans="2:15">
      <c r="B13" s="199">
        <v>44738</v>
      </c>
      <c r="C13" s="199">
        <v>44744</v>
      </c>
      <c r="D13" s="200">
        <v>20</v>
      </c>
      <c r="E13" s="210">
        <f t="shared" si="1"/>
        <v>1</v>
      </c>
      <c r="F13" s="211" t="str">
        <f t="shared" si="0"/>
        <v>||||||||||||||||||||</v>
      </c>
      <c r="G13" s="200"/>
      <c r="H13" s="200"/>
      <c r="I13" s="200"/>
      <c r="J13" s="200"/>
      <c r="K13" s="200"/>
      <c r="L13" s="200"/>
      <c r="M13" s="200"/>
      <c r="N13" s="200"/>
      <c r="O13" s="200"/>
    </row>
    <row r="14" spans="2:15">
      <c r="B14" s="199">
        <v>44745</v>
      </c>
      <c r="C14" s="199">
        <v>44751</v>
      </c>
      <c r="D14" s="200">
        <v>10</v>
      </c>
      <c r="E14" s="210">
        <f t="shared" si="1"/>
        <v>0.5</v>
      </c>
      <c r="F14" s="211" t="str">
        <f t="shared" si="0"/>
        <v>||||||||||</v>
      </c>
      <c r="G14" s="200"/>
      <c r="H14" s="200"/>
      <c r="I14" s="200"/>
      <c r="J14" s="200"/>
      <c r="K14" s="200"/>
      <c r="L14" s="200"/>
      <c r="M14" s="200"/>
      <c r="N14" s="200"/>
      <c r="O14" s="200"/>
    </row>
    <row r="15" spans="2:15">
      <c r="B15" s="199">
        <v>44752</v>
      </c>
      <c r="C15" s="199">
        <v>44758</v>
      </c>
      <c r="D15" s="200">
        <v>5</v>
      </c>
      <c r="E15" s="210">
        <f t="shared" si="1"/>
        <v>0.25</v>
      </c>
      <c r="F15" s="211" t="str">
        <f t="shared" si="0"/>
        <v>|||||</v>
      </c>
      <c r="G15" s="200"/>
      <c r="H15" s="200"/>
      <c r="I15" s="200"/>
      <c r="J15" s="200"/>
      <c r="K15" s="200"/>
      <c r="L15" s="200"/>
      <c r="M15" s="200"/>
      <c r="N15" s="200"/>
      <c r="O15" s="200"/>
    </row>
    <row r="16" spans="2:15">
      <c r="B16" s="199">
        <v>44759</v>
      </c>
      <c r="C16" s="199">
        <v>44765</v>
      </c>
      <c r="D16" s="200">
        <v>25</v>
      </c>
      <c r="E16" s="210">
        <f t="shared" si="1"/>
        <v>1.25</v>
      </c>
      <c r="F16" s="211" t="str">
        <f t="shared" si="0"/>
        <v>|||||||||||||||||||||||||</v>
      </c>
      <c r="G16" s="200"/>
      <c r="H16" s="200"/>
      <c r="I16" s="200"/>
      <c r="J16" s="200"/>
      <c r="K16" s="200"/>
      <c r="L16" s="200"/>
      <c r="M16" s="200"/>
      <c r="N16" s="200"/>
      <c r="O16" s="200"/>
    </row>
    <row r="17" spans="2:15">
      <c r="B17" s="199">
        <v>44766</v>
      </c>
      <c r="C17" s="199">
        <v>44772</v>
      </c>
      <c r="D17" s="200">
        <v>15</v>
      </c>
      <c r="E17" s="210">
        <f t="shared" si="1"/>
        <v>0.75</v>
      </c>
      <c r="F17" s="211" t="str">
        <f t="shared" si="0"/>
        <v>|||||||||||||||</v>
      </c>
      <c r="G17" s="200"/>
      <c r="H17" s="200"/>
      <c r="I17" s="200"/>
      <c r="J17" s="200"/>
      <c r="K17" s="200"/>
      <c r="L17" s="200"/>
      <c r="M17" s="200"/>
      <c r="N17" s="200"/>
      <c r="O17" s="200"/>
    </row>
    <row r="18" spans="2:15">
      <c r="B18" s="199">
        <v>44773</v>
      </c>
      <c r="C18" s="199">
        <v>44779</v>
      </c>
      <c r="D18" s="200">
        <v>20</v>
      </c>
      <c r="E18" s="210">
        <f t="shared" si="1"/>
        <v>1</v>
      </c>
      <c r="F18" s="211" t="str">
        <f t="shared" si="0"/>
        <v>||||||||||||||||||||</v>
      </c>
      <c r="G18" s="200"/>
      <c r="H18" s="200"/>
      <c r="I18" s="200"/>
      <c r="J18" s="200"/>
      <c r="K18" s="200"/>
      <c r="L18" s="200"/>
      <c r="M18" s="200"/>
      <c r="N18" s="200"/>
      <c r="O18" s="200"/>
    </row>
    <row r="19" spans="2:15">
      <c r="B19" s="199">
        <v>44780</v>
      </c>
      <c r="C19" s="199">
        <v>44786</v>
      </c>
      <c r="D19" s="200">
        <v>20</v>
      </c>
      <c r="E19" s="210">
        <f t="shared" si="1"/>
        <v>1</v>
      </c>
      <c r="F19" s="211" t="str">
        <f t="shared" si="0"/>
        <v>||||||||||||||||||||</v>
      </c>
      <c r="G19" s="200"/>
      <c r="H19" s="200"/>
      <c r="I19" s="200"/>
      <c r="J19" s="200"/>
      <c r="K19" s="200"/>
      <c r="L19" s="200"/>
      <c r="M19" s="200"/>
      <c r="N19" s="200"/>
      <c r="O19" s="200"/>
    </row>
    <row r="20" spans="2:15">
      <c r="B20" s="199">
        <v>44787</v>
      </c>
      <c r="C20" s="199">
        <v>44793</v>
      </c>
      <c r="D20" s="200">
        <v>16</v>
      </c>
      <c r="E20" s="210">
        <f t="shared" si="1"/>
        <v>0.8</v>
      </c>
      <c r="F20" s="211" t="str">
        <f t="shared" si="0"/>
        <v>||||||||||||||||</v>
      </c>
      <c r="G20" s="200"/>
      <c r="H20" s="200"/>
      <c r="I20" s="200"/>
      <c r="J20" s="200"/>
      <c r="K20" s="200"/>
      <c r="L20" s="200"/>
      <c r="M20" s="200"/>
      <c r="N20" s="200"/>
      <c r="O20" s="200"/>
    </row>
    <row r="21" spans="2:15">
      <c r="B21" s="199">
        <v>44794</v>
      </c>
      <c r="C21" s="199">
        <v>44800</v>
      </c>
      <c r="D21" s="200">
        <v>21</v>
      </c>
      <c r="E21" s="210">
        <f t="shared" si="1"/>
        <v>1.05</v>
      </c>
      <c r="F21" s="211" t="str">
        <f t="shared" si="0"/>
        <v>|||||||||||||||||||||</v>
      </c>
      <c r="G21" s="200"/>
      <c r="H21" s="200"/>
      <c r="I21" s="200"/>
      <c r="J21" s="200"/>
      <c r="K21" s="200"/>
      <c r="L21" s="200"/>
      <c r="M21" s="200"/>
      <c r="N21" s="200"/>
      <c r="O21" s="200"/>
    </row>
    <row r="22" spans="2:15">
      <c r="B22" s="199">
        <v>44801</v>
      </c>
      <c r="C22" s="199">
        <v>44807</v>
      </c>
      <c r="D22" s="200">
        <v>26</v>
      </c>
      <c r="E22" s="210">
        <f t="shared" si="1"/>
        <v>1.3</v>
      </c>
      <c r="F22" s="211" t="str">
        <f t="shared" si="0"/>
        <v>||||||||||||||||||||||||||</v>
      </c>
      <c r="G22" s="200"/>
      <c r="H22" s="200"/>
      <c r="I22" s="200"/>
      <c r="J22" s="200"/>
      <c r="K22" s="200"/>
      <c r="L22" s="200"/>
      <c r="M22" s="200"/>
      <c r="N22" s="200"/>
      <c r="O22" s="200"/>
    </row>
    <row r="23" spans="2:15">
      <c r="B23" s="199">
        <v>44808</v>
      </c>
      <c r="C23" s="199">
        <v>44814</v>
      </c>
      <c r="D23" s="200">
        <v>17.8</v>
      </c>
      <c r="E23" s="210">
        <f t="shared" si="1"/>
        <v>0.89</v>
      </c>
      <c r="F23" s="211" t="str">
        <f t="shared" si="0"/>
        <v>|||||||||||||||||</v>
      </c>
      <c r="G23" s="200"/>
      <c r="H23" s="200"/>
      <c r="I23" s="200"/>
      <c r="J23" s="200"/>
      <c r="K23" s="200"/>
      <c r="L23" s="200"/>
      <c r="M23" s="200"/>
      <c r="N23" s="200"/>
      <c r="O23" s="200"/>
    </row>
    <row r="24" spans="2:15">
      <c r="B24" s="199">
        <v>44815</v>
      </c>
      <c r="C24" s="199">
        <v>44821</v>
      </c>
      <c r="D24" s="200">
        <v>13.6</v>
      </c>
      <c r="E24" s="210">
        <f t="shared" si="1"/>
        <v>0.67999999999999994</v>
      </c>
      <c r="F24" s="211" t="str">
        <f t="shared" si="0"/>
        <v>|||||||||||||</v>
      </c>
      <c r="G24" s="200"/>
      <c r="H24" s="200"/>
      <c r="I24" s="200"/>
      <c r="J24" s="200"/>
      <c r="K24" s="200"/>
      <c r="L24" s="200"/>
      <c r="M24" s="200"/>
      <c r="N24" s="200"/>
      <c r="O24" s="200"/>
    </row>
    <row r="25" spans="2:15">
      <c r="B25" s="199">
        <v>44822</v>
      </c>
      <c r="C25" s="199">
        <v>44828</v>
      </c>
      <c r="D25" s="200">
        <v>11</v>
      </c>
      <c r="E25" s="210">
        <f t="shared" si="1"/>
        <v>0.55000000000000004</v>
      </c>
      <c r="F25" s="211" t="str">
        <f t="shared" si="0"/>
        <v>|||||||||||</v>
      </c>
      <c r="G25" s="200"/>
      <c r="H25" s="200"/>
      <c r="I25" s="200"/>
      <c r="J25" s="200"/>
      <c r="K25" s="200"/>
      <c r="L25" s="200"/>
      <c r="M25" s="200"/>
      <c r="N25" s="200"/>
      <c r="O25" s="200"/>
    </row>
    <row r="26" spans="2:15">
      <c r="B26" s="199">
        <v>44829</v>
      </c>
      <c r="C26" s="199">
        <v>44835</v>
      </c>
      <c r="D26" s="200">
        <v>12</v>
      </c>
      <c r="E26" s="210">
        <f t="shared" si="1"/>
        <v>0.6</v>
      </c>
      <c r="F26" s="211" t="str">
        <f t="shared" si="0"/>
        <v>||||||||||||</v>
      </c>
      <c r="G26" s="200"/>
      <c r="H26" s="200"/>
      <c r="I26" s="200"/>
      <c r="J26" s="200"/>
      <c r="K26" s="200"/>
      <c r="L26" s="200"/>
      <c r="M26" s="200"/>
      <c r="N26" s="200"/>
      <c r="O26" s="200"/>
    </row>
    <row r="27" spans="2:15">
      <c r="B27" s="199">
        <v>44836</v>
      </c>
      <c r="C27" s="199">
        <v>44842</v>
      </c>
      <c r="D27" s="200">
        <v>4</v>
      </c>
      <c r="E27" s="210">
        <f t="shared" si="1"/>
        <v>0.2</v>
      </c>
      <c r="F27" s="211" t="str">
        <f t="shared" si="0"/>
        <v>||||</v>
      </c>
      <c r="G27" s="200"/>
      <c r="H27" s="200"/>
      <c r="I27" s="200"/>
      <c r="J27" s="200"/>
      <c r="K27" s="200"/>
      <c r="L27" s="200"/>
      <c r="M27" s="200"/>
      <c r="N27" s="200"/>
      <c r="O27" s="200"/>
    </row>
    <row r="28" spans="2:15">
      <c r="B28" s="199">
        <v>44850</v>
      </c>
      <c r="C28" s="199">
        <v>44856</v>
      </c>
      <c r="D28" s="200">
        <v>2</v>
      </c>
      <c r="E28" s="210">
        <f t="shared" si="1"/>
        <v>0.1</v>
      </c>
      <c r="F28" s="211" t="str">
        <f t="shared" si="0"/>
        <v>||</v>
      </c>
      <c r="G28" s="200"/>
      <c r="H28" s="200"/>
      <c r="I28" s="200"/>
      <c r="J28" s="200"/>
      <c r="K28" s="200"/>
      <c r="L28" s="200"/>
      <c r="M28" s="200"/>
      <c r="N28" s="200"/>
      <c r="O28" s="200"/>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1476</v>
      </c>
      <c r="B1" s="1"/>
      <c r="C1" s="1"/>
      <c r="D1" s="1"/>
      <c r="E1" s="1"/>
      <c r="F1" s="1"/>
      <c r="G1" s="1"/>
      <c r="H1" s="1"/>
    </row>
    <row r="2" spans="1:9" s="64" customFormat="1" ht="78.75" customHeight="1">
      <c r="A2" s="270" t="s">
        <v>1477</v>
      </c>
      <c r="B2" s="270"/>
      <c r="C2" s="270"/>
      <c r="D2" s="270"/>
      <c r="E2" s="270"/>
      <c r="F2" s="270"/>
      <c r="G2" s="270"/>
      <c r="H2" s="270"/>
    </row>
    <row r="3" spans="1:9" s="64" customFormat="1" ht="24.75" customHeight="1">
      <c r="A3" s="271" t="s">
        <v>1478</v>
      </c>
      <c r="B3" s="271"/>
      <c r="D3" s="271" t="s">
        <v>1479</v>
      </c>
      <c r="E3" s="271"/>
      <c r="G3" s="271" t="s">
        <v>1480</v>
      </c>
      <c r="H3" s="271"/>
    </row>
    <row r="4" spans="1:9" s="66" customFormat="1" ht="19.5" customHeight="1">
      <c r="A4" s="65" t="s">
        <v>1481</v>
      </c>
      <c r="B4" s="65" t="s">
        <v>1482</v>
      </c>
      <c r="D4" s="65" t="s">
        <v>1481</v>
      </c>
      <c r="E4" s="65" t="s">
        <v>1482</v>
      </c>
      <c r="G4" s="65" t="s">
        <v>1481</v>
      </c>
      <c r="H4" s="65" t="s">
        <v>1482</v>
      </c>
    </row>
    <row r="5" spans="1:9" s="76" customFormat="1" ht="17.399999999999999">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1386</v>
      </c>
      <c r="B6" s="75">
        <v>44593</v>
      </c>
      <c r="C6" s="76" t="str">
        <f t="shared" si="0"/>
        <v>(화)</v>
      </c>
      <c r="D6" s="74"/>
      <c r="E6" s="75"/>
      <c r="F6" s="76" t="str">
        <f t="shared" si="1"/>
        <v/>
      </c>
      <c r="G6" s="74"/>
      <c r="H6" s="75"/>
      <c r="I6" s="76" t="str">
        <f t="shared" si="2"/>
        <v/>
      </c>
    </row>
    <row r="7" spans="1:9" s="76" customFormat="1" ht="17.399999999999999">
      <c r="A7" s="74" t="s">
        <v>1385</v>
      </c>
      <c r="B7" s="75">
        <v>44594</v>
      </c>
      <c r="C7" s="76" t="str">
        <f t="shared" si="0"/>
        <v>(수)</v>
      </c>
      <c r="D7" s="74"/>
      <c r="E7" s="75"/>
      <c r="F7" s="76" t="str">
        <f t="shared" si="1"/>
        <v/>
      </c>
      <c r="G7" s="74"/>
      <c r="H7" s="75"/>
      <c r="I7" s="76" t="str">
        <f t="shared" si="2"/>
        <v/>
      </c>
    </row>
    <row r="8" spans="1:9" s="76" customFormat="1" ht="17.399999999999999">
      <c r="A8" s="74" t="s">
        <v>1387</v>
      </c>
      <c r="B8" s="75">
        <v>44621</v>
      </c>
      <c r="C8" s="76" t="str">
        <f t="shared" si="0"/>
        <v>(화)</v>
      </c>
      <c r="D8" s="74"/>
      <c r="E8" s="75"/>
      <c r="F8" s="76" t="str">
        <f t="shared" si="1"/>
        <v/>
      </c>
      <c r="G8" s="74"/>
      <c r="H8" s="75"/>
      <c r="I8" s="76" t="str">
        <f t="shared" si="2"/>
        <v/>
      </c>
    </row>
    <row r="9" spans="1:9" s="76" customFormat="1" ht="17.399999999999999">
      <c r="A9" s="74" t="s">
        <v>1388</v>
      </c>
      <c r="B9" s="75">
        <v>44629</v>
      </c>
      <c r="C9" s="76" t="str">
        <f t="shared" si="0"/>
        <v>(수)</v>
      </c>
      <c r="D9" s="74"/>
      <c r="E9" s="75"/>
      <c r="F9" s="76" t="str">
        <f t="shared" si="1"/>
        <v/>
      </c>
      <c r="G9" s="74"/>
      <c r="H9" s="75"/>
      <c r="I9" s="76" t="str">
        <f t="shared" si="2"/>
        <v/>
      </c>
    </row>
    <row r="10" spans="1:9" s="76" customFormat="1" ht="17.399999999999999">
      <c r="A10" s="74" t="s">
        <v>1389</v>
      </c>
      <c r="B10" s="75">
        <v>44686</v>
      </c>
      <c r="C10" s="76" t="str">
        <f t="shared" si="0"/>
        <v>(목)</v>
      </c>
      <c r="D10" s="74"/>
      <c r="E10" s="75"/>
      <c r="F10" s="76" t="str">
        <f t="shared" si="1"/>
        <v/>
      </c>
      <c r="G10" s="74"/>
      <c r="H10" s="75"/>
      <c r="I10" s="76" t="str">
        <f t="shared" si="2"/>
        <v/>
      </c>
    </row>
    <row r="11" spans="1:9" s="76" customFormat="1" ht="17.399999999999999">
      <c r="A11" s="74" t="s">
        <v>1390</v>
      </c>
      <c r="B11" s="75">
        <v>44713</v>
      </c>
      <c r="C11" s="76" t="str">
        <f t="shared" si="0"/>
        <v>(수)</v>
      </c>
      <c r="D11" s="74"/>
      <c r="E11" s="75"/>
      <c r="F11" s="76" t="str">
        <f t="shared" si="1"/>
        <v/>
      </c>
      <c r="G11" s="74"/>
      <c r="H11" s="75"/>
      <c r="I11" s="76" t="str">
        <f t="shared" si="2"/>
        <v/>
      </c>
    </row>
    <row r="12" spans="1:9" s="76" customFormat="1" ht="17.399999999999999">
      <c r="A12" s="74" t="s">
        <v>1391</v>
      </c>
      <c r="B12" s="75">
        <v>44718</v>
      </c>
      <c r="C12" s="76" t="str">
        <f t="shared" si="0"/>
        <v>(월)</v>
      </c>
      <c r="D12" s="74"/>
      <c r="E12" s="75"/>
      <c r="F12" s="76" t="str">
        <f t="shared" si="1"/>
        <v/>
      </c>
      <c r="G12" s="74"/>
      <c r="H12" s="75"/>
      <c r="I12" s="76" t="str">
        <f t="shared" si="2"/>
        <v/>
      </c>
    </row>
    <row r="13" spans="1:9" s="76" customFormat="1" ht="17.399999999999999">
      <c r="A13" s="74" t="s">
        <v>1392</v>
      </c>
      <c r="B13" s="75">
        <v>44788</v>
      </c>
      <c r="C13" s="76" t="str">
        <f t="shared" si="0"/>
        <v>(월)</v>
      </c>
      <c r="D13" s="74"/>
      <c r="E13" s="75"/>
      <c r="F13" s="76" t="str">
        <f t="shared" si="1"/>
        <v/>
      </c>
      <c r="G13" s="74"/>
      <c r="H13" s="75"/>
      <c r="I13" s="76" t="str">
        <f t="shared" si="2"/>
        <v/>
      </c>
    </row>
    <row r="14" spans="1:9" s="76" customFormat="1" ht="17.399999999999999">
      <c r="A14" s="74" t="s">
        <v>1393</v>
      </c>
      <c r="B14" s="75">
        <v>44813</v>
      </c>
      <c r="C14" s="76" t="str">
        <f t="shared" si="0"/>
        <v>(금)</v>
      </c>
      <c r="D14" s="74"/>
      <c r="E14" s="75"/>
      <c r="F14" s="76" t="str">
        <f t="shared" si="1"/>
        <v/>
      </c>
      <c r="G14" s="74"/>
      <c r="H14" s="75"/>
      <c r="I14" s="76" t="str">
        <f t="shared" si="2"/>
        <v/>
      </c>
    </row>
    <row r="15" spans="1:9" s="76" customFormat="1" ht="17.399999999999999">
      <c r="A15" s="74" t="s">
        <v>1394</v>
      </c>
      <c r="B15" s="75">
        <v>44816</v>
      </c>
      <c r="C15" s="76" t="str">
        <f t="shared" si="0"/>
        <v>(월)</v>
      </c>
      <c r="D15" s="74"/>
      <c r="E15" s="75"/>
      <c r="F15" s="76" t="str">
        <f t="shared" si="1"/>
        <v/>
      </c>
      <c r="G15" s="74"/>
      <c r="H15" s="75"/>
      <c r="I15" s="76" t="str">
        <f t="shared" si="2"/>
        <v/>
      </c>
    </row>
    <row r="16" spans="1:9" s="76" customFormat="1" ht="17.399999999999999">
      <c r="A16" s="74" t="s">
        <v>1395</v>
      </c>
      <c r="B16" s="75">
        <v>44837</v>
      </c>
      <c r="C16" s="76" t="str">
        <f t="shared" si="0"/>
        <v>(월)</v>
      </c>
      <c r="D16" s="74"/>
      <c r="E16" s="75"/>
      <c r="F16" s="76" t="str">
        <f t="shared" si="1"/>
        <v/>
      </c>
      <c r="G16" s="74"/>
      <c r="H16" s="75"/>
      <c r="I16" s="76" t="str">
        <f t="shared" si="2"/>
        <v/>
      </c>
    </row>
    <row r="17" spans="1:10" s="76" customFormat="1" ht="17.399999999999999">
      <c r="A17" s="74" t="s">
        <v>1396</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626</v>
      </c>
    </row>
    <row r="2" spans="1:6" ht="72">
      <c r="A2" s="177" t="s">
        <v>619</v>
      </c>
      <c r="B2" s="178">
        <v>1</v>
      </c>
      <c r="C2" s="179" t="s">
        <v>498</v>
      </c>
      <c r="D2" s="180" t="s">
        <v>426</v>
      </c>
      <c r="E2" s="180" t="s">
        <v>816</v>
      </c>
      <c r="F2" s="180" t="s">
        <v>816</v>
      </c>
    </row>
    <row r="3" spans="1:6" ht="84">
      <c r="A3" s="181">
        <v>650</v>
      </c>
      <c r="B3" s="178">
        <v>2</v>
      </c>
      <c r="C3" s="179" t="s">
        <v>498</v>
      </c>
      <c r="D3" s="180" t="s">
        <v>419</v>
      </c>
      <c r="E3" s="180" t="s">
        <v>817</v>
      </c>
      <c r="F3" s="180" t="s">
        <v>817</v>
      </c>
    </row>
    <row r="4" spans="1:6" ht="60">
      <c r="B4" s="178">
        <v>3</v>
      </c>
      <c r="C4" s="179" t="s">
        <v>498</v>
      </c>
      <c r="D4" s="180" t="s">
        <v>427</v>
      </c>
      <c r="E4" s="180" t="s">
        <v>818</v>
      </c>
      <c r="F4" s="180" t="s">
        <v>818</v>
      </c>
    </row>
    <row r="5" spans="1:6" ht="52.8">
      <c r="B5" s="178">
        <v>4</v>
      </c>
      <c r="C5" s="179" t="s">
        <v>498</v>
      </c>
      <c r="D5" s="180" t="s">
        <v>428</v>
      </c>
      <c r="E5" s="180" t="s">
        <v>819</v>
      </c>
      <c r="F5" s="180" t="s">
        <v>819</v>
      </c>
    </row>
    <row r="6" spans="1:6" ht="66">
      <c r="B6" s="178">
        <v>5</v>
      </c>
      <c r="C6" s="179" t="s">
        <v>498</v>
      </c>
      <c r="D6" s="180" t="s">
        <v>429</v>
      </c>
      <c r="E6" s="180" t="s">
        <v>820</v>
      </c>
      <c r="F6" s="180" t="s">
        <v>820</v>
      </c>
    </row>
    <row r="7" spans="1:6" ht="48">
      <c r="B7" s="178">
        <v>6</v>
      </c>
      <c r="C7" s="179" t="s">
        <v>498</v>
      </c>
      <c r="D7" s="180" t="s">
        <v>430</v>
      </c>
      <c r="E7" s="180" t="s">
        <v>821</v>
      </c>
      <c r="F7" s="180" t="s">
        <v>821</v>
      </c>
    </row>
    <row r="8" spans="1:6" ht="13.2">
      <c r="B8" s="178">
        <v>7</v>
      </c>
      <c r="C8" s="179" t="s">
        <v>498</v>
      </c>
      <c r="D8" s="180" t="s">
        <v>421</v>
      </c>
      <c r="E8" s="180" t="s">
        <v>822</v>
      </c>
      <c r="F8" s="180" t="s">
        <v>822</v>
      </c>
    </row>
    <row r="9" spans="1:6" ht="48">
      <c r="B9" s="178">
        <v>8</v>
      </c>
      <c r="C9" s="179" t="s">
        <v>589</v>
      </c>
      <c r="D9" s="180" t="s">
        <v>586</v>
      </c>
      <c r="E9" s="196" t="s">
        <v>1366</v>
      </c>
      <c r="F9" s="196" t="s">
        <v>1366</v>
      </c>
    </row>
    <row r="10" spans="1:6" ht="48">
      <c r="B10" s="178">
        <v>9</v>
      </c>
      <c r="C10" s="179" t="s">
        <v>589</v>
      </c>
      <c r="D10" s="180" t="s">
        <v>578</v>
      </c>
      <c r="E10" s="180" t="s">
        <v>823</v>
      </c>
      <c r="F10" s="180" t="s">
        <v>823</v>
      </c>
    </row>
    <row r="11" spans="1:6" ht="48">
      <c r="B11" s="178">
        <v>10</v>
      </c>
      <c r="C11" s="179" t="s">
        <v>589</v>
      </c>
      <c r="D11" s="180" t="s">
        <v>587</v>
      </c>
      <c r="E11" s="180" t="s">
        <v>824</v>
      </c>
      <c r="F11" s="180" t="s">
        <v>824</v>
      </c>
    </row>
    <row r="12" spans="1:6" ht="52.8">
      <c r="B12" s="178">
        <v>11</v>
      </c>
      <c r="C12" s="179" t="s">
        <v>589</v>
      </c>
      <c r="D12" s="180" t="s">
        <v>581</v>
      </c>
      <c r="E12" s="180" t="s">
        <v>825</v>
      </c>
      <c r="F12" s="180" t="s">
        <v>825</v>
      </c>
    </row>
    <row r="13" spans="1:6" ht="72">
      <c r="B13" s="178">
        <v>12</v>
      </c>
      <c r="C13" s="179" t="s">
        <v>589</v>
      </c>
      <c r="D13" s="180" t="s">
        <v>582</v>
      </c>
      <c r="E13" s="180" t="s">
        <v>826</v>
      </c>
      <c r="F13" s="180" t="s">
        <v>826</v>
      </c>
    </row>
    <row r="14" spans="1:6" ht="48">
      <c r="B14" s="178">
        <v>13</v>
      </c>
      <c r="C14" s="179" t="s">
        <v>498</v>
      </c>
      <c r="D14" s="180" t="s">
        <v>751</v>
      </c>
      <c r="E14" s="180" t="s">
        <v>827</v>
      </c>
      <c r="F14" s="180" t="s">
        <v>827</v>
      </c>
    </row>
    <row r="15" spans="1:6" ht="39.6">
      <c r="B15" s="178">
        <v>14</v>
      </c>
      <c r="C15" s="179" t="s">
        <v>498</v>
      </c>
      <c r="D15" s="180" t="s">
        <v>752</v>
      </c>
      <c r="E15" s="180" t="s">
        <v>828</v>
      </c>
      <c r="F15" s="180" t="s">
        <v>828</v>
      </c>
    </row>
    <row r="16" spans="1:6" ht="13.2">
      <c r="B16" s="178">
        <v>15</v>
      </c>
      <c r="C16" s="179" t="s">
        <v>498</v>
      </c>
      <c r="D16" s="180" t="s">
        <v>753</v>
      </c>
      <c r="E16" s="180" t="s">
        <v>829</v>
      </c>
      <c r="F16" s="180" t="s">
        <v>829</v>
      </c>
    </row>
    <row r="17" spans="1:6" ht="13.2">
      <c r="B17" s="178">
        <v>101</v>
      </c>
      <c r="D17" s="180" t="s">
        <v>20</v>
      </c>
      <c r="E17" s="180" t="s">
        <v>830</v>
      </c>
      <c r="F17" s="180" t="s">
        <v>830</v>
      </c>
    </row>
    <row r="18" spans="1:6" ht="13.2">
      <c r="B18" s="178">
        <v>102</v>
      </c>
      <c r="D18" s="180" t="s">
        <v>21</v>
      </c>
      <c r="E18" s="180" t="s">
        <v>831</v>
      </c>
      <c r="F18" s="180" t="s">
        <v>831</v>
      </c>
    </row>
    <row r="19" spans="1:6" ht="13.2">
      <c r="B19" s="178">
        <v>103</v>
      </c>
      <c r="D19" s="180" t="s">
        <v>22</v>
      </c>
      <c r="E19" s="180" t="s">
        <v>832</v>
      </c>
      <c r="F19" s="180" t="s">
        <v>832</v>
      </c>
    </row>
    <row r="20" spans="1:6" ht="13.2">
      <c r="B20" s="178">
        <v>104</v>
      </c>
      <c r="D20" s="180" t="s">
        <v>23</v>
      </c>
      <c r="E20" s="180" t="s">
        <v>833</v>
      </c>
      <c r="F20" s="180" t="s">
        <v>833</v>
      </c>
    </row>
    <row r="21" spans="1:6" ht="13.2">
      <c r="B21" s="178">
        <v>105</v>
      </c>
      <c r="D21" s="180" t="s">
        <v>24</v>
      </c>
      <c r="E21" s="180" t="s">
        <v>834</v>
      </c>
      <c r="F21" s="180" t="s">
        <v>834</v>
      </c>
    </row>
    <row r="22" spans="1:6" ht="13.2">
      <c r="B22" s="178">
        <v>106</v>
      </c>
      <c r="D22" s="180" t="s">
        <v>343</v>
      </c>
      <c r="E22" s="180" t="s">
        <v>835</v>
      </c>
      <c r="F22" s="180" t="s">
        <v>835</v>
      </c>
    </row>
    <row r="23" spans="1:6" ht="39.6">
      <c r="B23" s="178">
        <v>107</v>
      </c>
      <c r="D23" s="180" t="s">
        <v>344</v>
      </c>
      <c r="E23" s="180" t="s">
        <v>836</v>
      </c>
      <c r="F23" s="180" t="s">
        <v>836</v>
      </c>
    </row>
    <row r="24" spans="1:6" ht="39.6">
      <c r="B24" s="178">
        <v>108</v>
      </c>
      <c r="D24" s="180" t="s">
        <v>345</v>
      </c>
      <c r="E24" s="180" t="s">
        <v>837</v>
      </c>
      <c r="F24" s="180" t="s">
        <v>837</v>
      </c>
    </row>
    <row r="25" spans="1:6" ht="13.2">
      <c r="B25" s="178">
        <v>109</v>
      </c>
      <c r="D25" s="180" t="s">
        <v>25</v>
      </c>
      <c r="E25" s="180" t="s">
        <v>838</v>
      </c>
      <c r="F25" s="180" t="s">
        <v>838</v>
      </c>
    </row>
    <row r="26" spans="1:6" ht="13.2">
      <c r="B26" s="178">
        <v>110</v>
      </c>
      <c r="D26" s="180" t="s">
        <v>26</v>
      </c>
      <c r="E26" s="180" t="s">
        <v>839</v>
      </c>
      <c r="F26" s="180" t="s">
        <v>839</v>
      </c>
    </row>
    <row r="27" spans="1:6" ht="13.2">
      <c r="B27" s="178">
        <v>111</v>
      </c>
      <c r="D27" s="180" t="s">
        <v>27</v>
      </c>
      <c r="E27" s="180" t="s">
        <v>840</v>
      </c>
      <c r="F27" s="180" t="s">
        <v>840</v>
      </c>
    </row>
    <row r="28" spans="1:6" ht="13.2">
      <c r="A28" s="182"/>
      <c r="B28" s="178">
        <v>112</v>
      </c>
      <c r="C28" s="183" t="s">
        <v>414</v>
      </c>
      <c r="D28" s="181" t="s">
        <v>431</v>
      </c>
      <c r="E28" s="181" t="s">
        <v>841</v>
      </c>
      <c r="F28" s="181" t="s">
        <v>841</v>
      </c>
    </row>
    <row r="29" spans="1:6" ht="13.2">
      <c r="B29" s="178">
        <v>113</v>
      </c>
      <c r="D29" s="180" t="s">
        <v>28</v>
      </c>
      <c r="E29" s="180" t="s">
        <v>841</v>
      </c>
      <c r="F29" s="180" t="s">
        <v>841</v>
      </c>
    </row>
    <row r="30" spans="1:6" ht="13.2">
      <c r="B30" s="178">
        <v>114</v>
      </c>
      <c r="C30" s="179" t="s">
        <v>547</v>
      </c>
      <c r="D30" s="180" t="s">
        <v>552</v>
      </c>
      <c r="E30" s="180" t="s">
        <v>842</v>
      </c>
      <c r="F30" s="180" t="s">
        <v>842</v>
      </c>
    </row>
    <row r="31" spans="1:6" ht="13.2">
      <c r="B31" s="178">
        <v>115</v>
      </c>
      <c r="D31" s="180" t="s">
        <v>607</v>
      </c>
      <c r="E31" s="180" t="s">
        <v>843</v>
      </c>
      <c r="F31" s="180" t="s">
        <v>843</v>
      </c>
    </row>
    <row r="32" spans="1:6" ht="13.2">
      <c r="B32" s="178">
        <v>116</v>
      </c>
      <c r="D32" s="180" t="s">
        <v>29</v>
      </c>
      <c r="E32" s="180" t="s">
        <v>844</v>
      </c>
      <c r="F32" s="180" t="s">
        <v>844</v>
      </c>
    </row>
    <row r="33" spans="2:6" ht="13.2">
      <c r="B33" s="178">
        <v>117</v>
      </c>
      <c r="D33" s="180" t="s">
        <v>30</v>
      </c>
      <c r="E33" s="180" t="s">
        <v>845</v>
      </c>
      <c r="F33" s="180" t="s">
        <v>845</v>
      </c>
    </row>
    <row r="34" spans="2:6" ht="26.4">
      <c r="B34" s="178">
        <v>118</v>
      </c>
      <c r="D34" s="180" t="s">
        <v>346</v>
      </c>
      <c r="E34" s="180" t="s">
        <v>846</v>
      </c>
      <c r="F34" s="180" t="s">
        <v>846</v>
      </c>
    </row>
    <row r="35" spans="2:6" ht="13.2">
      <c r="B35" s="178">
        <v>119</v>
      </c>
      <c r="D35" s="180" t="s">
        <v>518</v>
      </c>
      <c r="E35" s="180" t="s">
        <v>847</v>
      </c>
      <c r="F35" s="180" t="s">
        <v>847</v>
      </c>
    </row>
    <row r="36" spans="2:6" ht="13.2">
      <c r="B36" s="178">
        <v>120</v>
      </c>
      <c r="D36" s="180" t="s">
        <v>504</v>
      </c>
      <c r="E36" s="180" t="s">
        <v>848</v>
      </c>
      <c r="F36" s="180" t="s">
        <v>848</v>
      </c>
    </row>
    <row r="37" spans="2:6" ht="26.4">
      <c r="B37" s="178">
        <v>121</v>
      </c>
      <c r="D37" s="180" t="s">
        <v>31</v>
      </c>
      <c r="E37" s="180" t="s">
        <v>849</v>
      </c>
      <c r="F37" s="180" t="s">
        <v>849</v>
      </c>
    </row>
    <row r="38" spans="2:6" ht="13.2">
      <c r="B38" s="178">
        <v>122</v>
      </c>
      <c r="D38" s="180" t="s">
        <v>32</v>
      </c>
      <c r="E38" s="180" t="s">
        <v>850</v>
      </c>
      <c r="F38" s="180" t="s">
        <v>850</v>
      </c>
    </row>
    <row r="39" spans="2:6" ht="13.2">
      <c r="B39" s="178">
        <v>123</v>
      </c>
      <c r="D39" s="180" t="s">
        <v>341</v>
      </c>
      <c r="E39" s="180" t="s">
        <v>851</v>
      </c>
      <c r="F39" s="180" t="s">
        <v>851</v>
      </c>
    </row>
    <row r="40" spans="2:6" ht="13.2">
      <c r="B40" s="178">
        <v>124</v>
      </c>
      <c r="D40" s="180" t="s">
        <v>33</v>
      </c>
      <c r="E40" s="180" t="s">
        <v>852</v>
      </c>
      <c r="F40" s="180" t="s">
        <v>852</v>
      </c>
    </row>
    <row r="41" spans="2:6" ht="24">
      <c r="B41" s="178">
        <v>125</v>
      </c>
      <c r="D41" s="180" t="s">
        <v>520</v>
      </c>
      <c r="E41" s="180" t="s">
        <v>853</v>
      </c>
      <c r="F41" s="180" t="s">
        <v>853</v>
      </c>
    </row>
    <row r="42" spans="2:6" ht="13.2">
      <c r="B42" s="178">
        <v>126</v>
      </c>
      <c r="D42" s="180" t="s">
        <v>519</v>
      </c>
      <c r="E42" s="180" t="s">
        <v>854</v>
      </c>
      <c r="F42" s="180" t="s">
        <v>854</v>
      </c>
    </row>
    <row r="43" spans="2:6" ht="24">
      <c r="B43" s="178">
        <v>127</v>
      </c>
      <c r="D43" s="180" t="s">
        <v>34</v>
      </c>
      <c r="E43" s="180" t="s">
        <v>855</v>
      </c>
      <c r="F43" s="180" t="s">
        <v>855</v>
      </c>
    </row>
    <row r="44" spans="2:6" ht="24">
      <c r="B44" s="178">
        <v>128</v>
      </c>
      <c r="D44" s="180" t="s">
        <v>35</v>
      </c>
      <c r="E44" s="180" t="s">
        <v>856</v>
      </c>
      <c r="F44" s="180" t="s">
        <v>856</v>
      </c>
    </row>
    <row r="45" spans="2:6" ht="24">
      <c r="B45" s="178">
        <v>129</v>
      </c>
      <c r="D45" s="180" t="s">
        <v>342</v>
      </c>
      <c r="E45" s="180" t="s">
        <v>857</v>
      </c>
      <c r="F45" s="180" t="s">
        <v>857</v>
      </c>
    </row>
    <row r="46" spans="2:6" ht="13.2">
      <c r="B46" s="178">
        <v>130</v>
      </c>
      <c r="D46" s="180" t="s">
        <v>36</v>
      </c>
      <c r="E46" s="180" t="s">
        <v>858</v>
      </c>
      <c r="F46" s="180" t="s">
        <v>858</v>
      </c>
    </row>
    <row r="47" spans="2:6" ht="13.2">
      <c r="B47" s="178">
        <v>131</v>
      </c>
      <c r="D47" s="180" t="s">
        <v>347</v>
      </c>
      <c r="E47" s="180" t="s">
        <v>859</v>
      </c>
      <c r="F47" s="180" t="s">
        <v>859</v>
      </c>
    </row>
    <row r="48" spans="2:6" ht="13.2">
      <c r="B48" s="178">
        <v>132</v>
      </c>
      <c r="D48" s="180" t="s">
        <v>37</v>
      </c>
      <c r="E48" s="180" t="s">
        <v>860</v>
      </c>
      <c r="F48" s="180" t="s">
        <v>860</v>
      </c>
    </row>
    <row r="49" spans="2:6" ht="13.2">
      <c r="B49" s="178">
        <v>133</v>
      </c>
      <c r="D49" s="180" t="s">
        <v>635</v>
      </c>
      <c r="E49" s="180" t="s">
        <v>861</v>
      </c>
      <c r="F49" s="180" t="s">
        <v>861</v>
      </c>
    </row>
    <row r="50" spans="2:6" ht="13.2">
      <c r="B50" s="178">
        <v>134</v>
      </c>
      <c r="D50" s="180" t="s">
        <v>634</v>
      </c>
      <c r="E50" s="180" t="s">
        <v>862</v>
      </c>
      <c r="F50" s="180" t="s">
        <v>862</v>
      </c>
    </row>
    <row r="51" spans="2:6">
      <c r="B51" s="178">
        <v>135</v>
      </c>
      <c r="D51" s="181" t="s">
        <v>633</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863</v>
      </c>
      <c r="F54" s="180" t="s">
        <v>863</v>
      </c>
    </row>
    <row r="55" spans="2:6" ht="13.2">
      <c r="B55" s="178">
        <v>139</v>
      </c>
      <c r="C55" s="179" t="s">
        <v>432</v>
      </c>
      <c r="D55" s="180" t="s">
        <v>433</v>
      </c>
      <c r="E55" s="180" t="s">
        <v>864</v>
      </c>
      <c r="F55" s="180" t="s">
        <v>864</v>
      </c>
    </row>
    <row r="56" spans="2:6" ht="26.4">
      <c r="B56" s="178">
        <v>140</v>
      </c>
      <c r="D56" s="180" t="s">
        <v>40</v>
      </c>
      <c r="E56" s="180" t="s">
        <v>865</v>
      </c>
      <c r="F56" s="180" t="s">
        <v>865</v>
      </c>
    </row>
    <row r="57" spans="2:6" ht="26.4">
      <c r="B57" s="178">
        <v>141</v>
      </c>
      <c r="D57" s="180" t="s">
        <v>41</v>
      </c>
      <c r="E57" s="180" t="s">
        <v>866</v>
      </c>
      <c r="F57" s="180" t="s">
        <v>866</v>
      </c>
    </row>
    <row r="58" spans="2:6" ht="13.2">
      <c r="B58" s="178">
        <v>142</v>
      </c>
      <c r="D58" s="180" t="s">
        <v>500</v>
      </c>
      <c r="E58" s="180" t="s">
        <v>867</v>
      </c>
      <c r="F58" s="180" t="s">
        <v>867</v>
      </c>
    </row>
    <row r="59" spans="2:6" ht="13.2">
      <c r="B59" s="178">
        <v>143</v>
      </c>
      <c r="C59" s="179" t="s">
        <v>470</v>
      </c>
      <c r="D59" s="177" t="s">
        <v>349</v>
      </c>
      <c r="E59" s="185" t="s">
        <v>868</v>
      </c>
      <c r="F59" s="185" t="s">
        <v>868</v>
      </c>
    </row>
    <row r="60" spans="2:6" ht="13.2">
      <c r="B60" s="178">
        <v>144</v>
      </c>
      <c r="D60" s="180" t="s">
        <v>42</v>
      </c>
      <c r="E60" s="180" t="s">
        <v>869</v>
      </c>
      <c r="F60" s="180" t="s">
        <v>869</v>
      </c>
    </row>
    <row r="61" spans="2:6" ht="26.4">
      <c r="B61" s="178">
        <v>145</v>
      </c>
      <c r="D61" s="180" t="s">
        <v>43</v>
      </c>
      <c r="E61" s="180" t="s">
        <v>870</v>
      </c>
      <c r="F61" s="180" t="s">
        <v>870</v>
      </c>
    </row>
    <row r="62" spans="2:6" ht="13.2">
      <c r="B62" s="178">
        <v>146</v>
      </c>
      <c r="D62" s="180" t="s">
        <v>44</v>
      </c>
      <c r="E62" s="180" t="s">
        <v>871</v>
      </c>
      <c r="F62" s="180" t="s">
        <v>871</v>
      </c>
    </row>
    <row r="63" spans="2:6" ht="26.4">
      <c r="B63" s="178">
        <v>147</v>
      </c>
      <c r="D63" s="180" t="s">
        <v>45</v>
      </c>
      <c r="E63" s="180" t="s">
        <v>872</v>
      </c>
      <c r="F63" s="180" t="s">
        <v>872</v>
      </c>
    </row>
    <row r="64" spans="2:6" ht="13.2">
      <c r="B64" s="178">
        <v>148</v>
      </c>
      <c r="D64" s="180" t="s">
        <v>501</v>
      </c>
      <c r="E64" s="180" t="s">
        <v>873</v>
      </c>
      <c r="F64" s="180" t="s">
        <v>873</v>
      </c>
    </row>
    <row r="65" spans="1:6" ht="13.2">
      <c r="B65" s="178">
        <v>149</v>
      </c>
      <c r="D65" s="180" t="s">
        <v>502</v>
      </c>
      <c r="E65" s="180" t="s">
        <v>874</v>
      </c>
      <c r="F65" s="180" t="s">
        <v>874</v>
      </c>
    </row>
    <row r="66" spans="1:6" ht="13.2">
      <c r="B66" s="178">
        <v>150</v>
      </c>
      <c r="D66" s="180" t="s">
        <v>46</v>
      </c>
      <c r="E66" s="180" t="s">
        <v>875</v>
      </c>
      <c r="F66" s="180" t="s">
        <v>875</v>
      </c>
    </row>
    <row r="67" spans="1:6" ht="13.2">
      <c r="B67" s="178">
        <v>151</v>
      </c>
      <c r="C67" s="179" t="s">
        <v>470</v>
      </c>
      <c r="D67" s="177" t="s">
        <v>350</v>
      </c>
      <c r="E67" s="185" t="s">
        <v>876</v>
      </c>
      <c r="F67" s="185" t="s">
        <v>876</v>
      </c>
    </row>
    <row r="68" spans="1:6" ht="13.2">
      <c r="B68" s="178">
        <v>152</v>
      </c>
      <c r="D68" s="180" t="s">
        <v>47</v>
      </c>
      <c r="E68" s="180" t="s">
        <v>877</v>
      </c>
      <c r="F68" s="180" t="s">
        <v>877</v>
      </c>
    </row>
    <row r="69" spans="1:6" ht="13.2">
      <c r="B69" s="178">
        <v>153</v>
      </c>
      <c r="D69" s="180" t="s">
        <v>48</v>
      </c>
      <c r="E69" s="180" t="s">
        <v>878</v>
      </c>
      <c r="F69" s="180" t="s">
        <v>878</v>
      </c>
    </row>
    <row r="70" spans="1:6" ht="13.2">
      <c r="B70" s="178">
        <v>154</v>
      </c>
      <c r="D70" s="180" t="s">
        <v>49</v>
      </c>
      <c r="E70" s="180" t="s">
        <v>879</v>
      </c>
      <c r="F70" s="180" t="s">
        <v>879</v>
      </c>
    </row>
    <row r="71" spans="1:6" ht="26.4">
      <c r="B71" s="178">
        <v>155</v>
      </c>
      <c r="D71" s="180" t="s">
        <v>50</v>
      </c>
      <c r="E71" s="180" t="s">
        <v>880</v>
      </c>
      <c r="F71" s="180" t="s">
        <v>880</v>
      </c>
    </row>
    <row r="72" spans="1:6" ht="13.2">
      <c r="B72" s="178">
        <v>156</v>
      </c>
      <c r="C72" s="179" t="s">
        <v>470</v>
      </c>
      <c r="D72" s="177" t="s">
        <v>468</v>
      </c>
      <c r="E72" s="185" t="s">
        <v>881</v>
      </c>
      <c r="F72" s="185" t="s">
        <v>881</v>
      </c>
    </row>
    <row r="73" spans="1:6" ht="13.2">
      <c r="B73" s="178">
        <v>157</v>
      </c>
      <c r="C73" s="179" t="s">
        <v>470</v>
      </c>
      <c r="D73" s="177" t="s">
        <v>467</v>
      </c>
      <c r="E73" s="185" t="s">
        <v>882</v>
      </c>
      <c r="F73" s="185" t="s">
        <v>882</v>
      </c>
    </row>
    <row r="74" spans="1:6" ht="13.2">
      <c r="B74" s="178">
        <v>158</v>
      </c>
      <c r="D74" s="180" t="s">
        <v>351</v>
      </c>
      <c r="E74" s="180" t="s">
        <v>883</v>
      </c>
      <c r="F74" s="180" t="s">
        <v>883</v>
      </c>
    </row>
    <row r="75" spans="1:6" ht="13.2">
      <c r="A75" s="186"/>
      <c r="B75" s="178">
        <v>159</v>
      </c>
      <c r="C75" s="183" t="s">
        <v>414</v>
      </c>
      <c r="D75" s="181" t="s">
        <v>434</v>
      </c>
      <c r="E75" s="181" t="s">
        <v>884</v>
      </c>
      <c r="F75" s="181" t="s">
        <v>884</v>
      </c>
    </row>
    <row r="76" spans="1:6" ht="13.2">
      <c r="B76" s="178">
        <v>160</v>
      </c>
      <c r="D76" s="180" t="s">
        <v>51</v>
      </c>
      <c r="E76" s="181" t="s">
        <v>885</v>
      </c>
      <c r="F76" s="181" t="s">
        <v>885</v>
      </c>
    </row>
    <row r="77" spans="1:6" ht="13.2">
      <c r="B77" s="178">
        <v>161</v>
      </c>
      <c r="D77" s="180" t="s">
        <v>52</v>
      </c>
      <c r="E77" s="181" t="s">
        <v>886</v>
      </c>
      <c r="F77" s="181" t="s">
        <v>886</v>
      </c>
    </row>
    <row r="78" spans="1:6" ht="13.2">
      <c r="B78" s="178">
        <v>162</v>
      </c>
      <c r="D78" s="180" t="s">
        <v>514</v>
      </c>
      <c r="E78" s="180" t="s">
        <v>887</v>
      </c>
      <c r="F78" s="180" t="s">
        <v>887</v>
      </c>
    </row>
    <row r="79" spans="1:6" ht="13.2">
      <c r="B79" s="178">
        <v>163</v>
      </c>
      <c r="D79" s="180" t="s">
        <v>512</v>
      </c>
      <c r="E79" s="180" t="s">
        <v>888</v>
      </c>
      <c r="F79" s="180" t="s">
        <v>888</v>
      </c>
    </row>
    <row r="80" spans="1:6" ht="13.2">
      <c r="B80" s="178">
        <v>164</v>
      </c>
      <c r="D80" s="180" t="s">
        <v>511</v>
      </c>
      <c r="E80" s="180" t="s">
        <v>889</v>
      </c>
      <c r="F80" s="180" t="s">
        <v>889</v>
      </c>
    </row>
    <row r="81" spans="1:6" ht="13.2">
      <c r="A81" s="186"/>
      <c r="B81" s="178">
        <v>165</v>
      </c>
      <c r="C81" s="183" t="s">
        <v>414</v>
      </c>
      <c r="D81" s="181" t="s">
        <v>435</v>
      </c>
      <c r="E81" s="181" t="s">
        <v>890</v>
      </c>
      <c r="F81" s="181" t="s">
        <v>890</v>
      </c>
    </row>
    <row r="82" spans="1:6" ht="13.2">
      <c r="A82" s="186"/>
      <c r="B82" s="178">
        <v>166</v>
      </c>
      <c r="C82" s="183" t="s">
        <v>414</v>
      </c>
      <c r="D82" s="181" t="s">
        <v>436</v>
      </c>
      <c r="E82" s="181" t="s">
        <v>891</v>
      </c>
      <c r="F82" s="181" t="s">
        <v>891</v>
      </c>
    </row>
    <row r="83" spans="1:6" ht="13.2">
      <c r="A83" s="186"/>
      <c r="B83" s="178">
        <v>167</v>
      </c>
      <c r="C83" s="183" t="s">
        <v>414</v>
      </c>
      <c r="D83" s="181" t="s">
        <v>437</v>
      </c>
      <c r="E83" s="181" t="s">
        <v>892</v>
      </c>
      <c r="F83" s="181" t="s">
        <v>892</v>
      </c>
    </row>
    <row r="84" spans="1:6" ht="13.2">
      <c r="A84" s="186"/>
      <c r="B84" s="178">
        <v>168</v>
      </c>
      <c r="C84" s="183" t="s">
        <v>414</v>
      </c>
      <c r="D84" s="181" t="s">
        <v>422</v>
      </c>
      <c r="E84" s="181" t="s">
        <v>893</v>
      </c>
      <c r="F84" s="181" t="s">
        <v>893</v>
      </c>
    </row>
    <row r="85" spans="1:6" ht="13.2">
      <c r="B85" s="178">
        <v>169</v>
      </c>
      <c r="D85" s="180" t="s">
        <v>53</v>
      </c>
      <c r="E85" s="180" t="s">
        <v>894</v>
      </c>
      <c r="F85" s="180" t="s">
        <v>894</v>
      </c>
    </row>
    <row r="86" spans="1:6" ht="13.2">
      <c r="B86" s="178">
        <v>170</v>
      </c>
      <c r="D86" s="180" t="s">
        <v>54</v>
      </c>
      <c r="E86" s="180" t="s">
        <v>895</v>
      </c>
      <c r="F86" s="180" t="s">
        <v>895</v>
      </c>
    </row>
    <row r="87" spans="1:6" ht="13.2">
      <c r="B87" s="178">
        <v>171</v>
      </c>
      <c r="D87" s="180" t="s">
        <v>438</v>
      </c>
      <c r="E87" s="180" t="s">
        <v>896</v>
      </c>
      <c r="F87" s="180" t="s">
        <v>896</v>
      </c>
    </row>
    <row r="88" spans="1:6" ht="13.2">
      <c r="B88" s="178">
        <v>172</v>
      </c>
      <c r="D88" s="180" t="s">
        <v>55</v>
      </c>
      <c r="E88" s="180" t="s">
        <v>897</v>
      </c>
      <c r="F88" s="180" t="s">
        <v>897</v>
      </c>
    </row>
    <row r="89" spans="1:6" ht="13.2">
      <c r="B89" s="178">
        <v>173</v>
      </c>
      <c r="D89" s="180" t="s">
        <v>56</v>
      </c>
      <c r="E89" s="180" t="s">
        <v>898</v>
      </c>
      <c r="F89" s="180" t="s">
        <v>898</v>
      </c>
    </row>
    <row r="90" spans="1:6" ht="13.2">
      <c r="B90" s="178">
        <v>174</v>
      </c>
      <c r="D90" s="180" t="s">
        <v>57</v>
      </c>
      <c r="E90" s="180" t="s">
        <v>899</v>
      </c>
      <c r="F90" s="180" t="s">
        <v>899</v>
      </c>
    </row>
    <row r="91" spans="1:6" ht="13.2">
      <c r="B91" s="178">
        <v>175</v>
      </c>
      <c r="D91" s="180" t="s">
        <v>58</v>
      </c>
      <c r="E91" s="180" t="s">
        <v>900</v>
      </c>
      <c r="F91" s="180" t="s">
        <v>900</v>
      </c>
    </row>
    <row r="92" spans="1:6" ht="26.4">
      <c r="B92" s="178">
        <v>176</v>
      </c>
      <c r="D92" s="180" t="s">
        <v>59</v>
      </c>
      <c r="E92" s="180" t="s">
        <v>901</v>
      </c>
      <c r="F92" s="180" t="s">
        <v>901</v>
      </c>
    </row>
    <row r="93" spans="1:6" ht="13.2">
      <c r="B93" s="178">
        <v>177</v>
      </c>
      <c r="D93" s="180" t="s">
        <v>60</v>
      </c>
      <c r="E93" s="180" t="s">
        <v>902</v>
      </c>
      <c r="F93" s="180" t="s">
        <v>902</v>
      </c>
    </row>
    <row r="94" spans="1:6" ht="13.2">
      <c r="B94" s="178">
        <v>178</v>
      </c>
      <c r="D94" s="180" t="s">
        <v>61</v>
      </c>
      <c r="E94" s="180" t="s">
        <v>903</v>
      </c>
      <c r="F94" s="180" t="s">
        <v>903</v>
      </c>
    </row>
    <row r="95" spans="1:6" ht="13.2">
      <c r="B95" s="178">
        <v>179</v>
      </c>
      <c r="D95" s="180" t="s">
        <v>62</v>
      </c>
      <c r="E95" s="180" t="s">
        <v>904</v>
      </c>
      <c r="F95" s="180" t="s">
        <v>904</v>
      </c>
    </row>
    <row r="96" spans="1:6" ht="13.2">
      <c r="B96" s="178">
        <v>180</v>
      </c>
      <c r="D96" s="180" t="s">
        <v>352</v>
      </c>
      <c r="E96" s="180" t="s">
        <v>905</v>
      </c>
      <c r="F96" s="180" t="s">
        <v>905</v>
      </c>
    </row>
    <row r="97" spans="2:6" ht="13.2">
      <c r="B97" s="178">
        <v>181</v>
      </c>
      <c r="C97" s="179" t="s">
        <v>547</v>
      </c>
      <c r="D97" s="180" t="s">
        <v>568</v>
      </c>
      <c r="E97" s="180" t="s">
        <v>906</v>
      </c>
      <c r="F97" s="180" t="s">
        <v>906</v>
      </c>
    </row>
    <row r="98" spans="2:6" ht="39.6">
      <c r="B98" s="178">
        <v>182</v>
      </c>
      <c r="C98" s="179" t="s">
        <v>547</v>
      </c>
      <c r="D98" s="180" t="s">
        <v>588</v>
      </c>
      <c r="E98" s="180" t="s">
        <v>907</v>
      </c>
      <c r="F98" s="180" t="s">
        <v>907</v>
      </c>
    </row>
    <row r="99" spans="2:6" ht="13.2">
      <c r="B99" s="178">
        <v>183</v>
      </c>
      <c r="D99" s="180" t="s">
        <v>63</v>
      </c>
      <c r="E99" s="180" t="s">
        <v>908</v>
      </c>
      <c r="F99" s="180" t="s">
        <v>908</v>
      </c>
    </row>
    <row r="100" spans="2:6" ht="13.2">
      <c r="B100" s="178">
        <v>184</v>
      </c>
      <c r="D100" s="180" t="s">
        <v>623</v>
      </c>
      <c r="E100" s="180" t="s">
        <v>909</v>
      </c>
      <c r="F100" s="180" t="s">
        <v>909</v>
      </c>
    </row>
    <row r="101" spans="2:6" ht="13.2">
      <c r="B101" s="178">
        <v>185</v>
      </c>
      <c r="D101" s="180" t="s">
        <v>64</v>
      </c>
      <c r="E101" s="180" t="s">
        <v>910</v>
      </c>
      <c r="F101" s="180" t="s">
        <v>910</v>
      </c>
    </row>
    <row r="102" spans="2:6" ht="24">
      <c r="B102" s="178">
        <v>186</v>
      </c>
      <c r="D102" s="180" t="s">
        <v>65</v>
      </c>
      <c r="E102" s="180" t="s">
        <v>911</v>
      </c>
      <c r="F102" s="180" t="s">
        <v>911</v>
      </c>
    </row>
    <row r="103" spans="2:6" ht="24">
      <c r="B103" s="178">
        <v>187</v>
      </c>
      <c r="D103" s="180" t="s">
        <v>66</v>
      </c>
      <c r="E103" s="180" t="s">
        <v>912</v>
      </c>
      <c r="F103" s="180" t="s">
        <v>912</v>
      </c>
    </row>
    <row r="104" spans="2:6" ht="13.2">
      <c r="B104" s="178">
        <v>188</v>
      </c>
      <c r="D104" s="180" t="s">
        <v>67</v>
      </c>
      <c r="E104" s="180" t="s">
        <v>913</v>
      </c>
      <c r="F104" s="180" t="s">
        <v>913</v>
      </c>
    </row>
    <row r="105" spans="2:6" ht="13.2">
      <c r="B105" s="178">
        <v>189</v>
      </c>
      <c r="D105" s="180" t="s">
        <v>68</v>
      </c>
      <c r="E105" s="180" t="s">
        <v>914</v>
      </c>
      <c r="F105" s="180" t="s">
        <v>914</v>
      </c>
    </row>
    <row r="106" spans="2:6" ht="13.2">
      <c r="B106" s="178">
        <v>190</v>
      </c>
      <c r="C106" s="179" t="s">
        <v>547</v>
      </c>
      <c r="D106" s="180" t="s">
        <v>566</v>
      </c>
      <c r="E106" s="180" t="s">
        <v>915</v>
      </c>
      <c r="F106" s="180" t="s">
        <v>915</v>
      </c>
    </row>
    <row r="107" spans="2:6" ht="13.2">
      <c r="B107" s="178">
        <v>191</v>
      </c>
      <c r="D107" s="180" t="s">
        <v>594</v>
      </c>
      <c r="E107" s="180" t="s">
        <v>916</v>
      </c>
      <c r="F107" s="180" t="s">
        <v>916</v>
      </c>
    </row>
    <row r="108" spans="2:6" ht="13.2">
      <c r="B108" s="178">
        <v>192</v>
      </c>
      <c r="D108" s="180" t="s">
        <v>456</v>
      </c>
      <c r="E108" s="180" t="s">
        <v>917</v>
      </c>
      <c r="F108" s="180" t="s">
        <v>917</v>
      </c>
    </row>
    <row r="109" spans="2:6" ht="13.2">
      <c r="B109" s="178">
        <v>193</v>
      </c>
      <c r="D109" s="180" t="s">
        <v>457</v>
      </c>
      <c r="E109" s="180" t="s">
        <v>918</v>
      </c>
      <c r="F109" s="180" t="s">
        <v>918</v>
      </c>
    </row>
    <row r="110" spans="2:6" ht="13.2">
      <c r="B110" s="178">
        <v>194</v>
      </c>
      <c r="D110" s="180" t="s">
        <v>69</v>
      </c>
      <c r="E110" s="180" t="s">
        <v>919</v>
      </c>
      <c r="F110" s="180" t="s">
        <v>919</v>
      </c>
    </row>
    <row r="111" spans="2:6" ht="13.2">
      <c r="B111" s="178">
        <v>195</v>
      </c>
      <c r="D111" s="180" t="s">
        <v>70</v>
      </c>
      <c r="E111" s="180" t="s">
        <v>920</v>
      </c>
      <c r="F111" s="180" t="s">
        <v>920</v>
      </c>
    </row>
    <row r="112" spans="2:6" ht="13.2">
      <c r="B112" s="178">
        <v>196</v>
      </c>
      <c r="D112" s="180" t="s">
        <v>353</v>
      </c>
      <c r="E112" s="180" t="s">
        <v>921</v>
      </c>
      <c r="F112" s="180" t="s">
        <v>921</v>
      </c>
    </row>
    <row r="113" spans="2:6" ht="24">
      <c r="B113" s="178">
        <v>197</v>
      </c>
      <c r="D113" s="180" t="s">
        <v>354</v>
      </c>
      <c r="E113" s="180" t="s">
        <v>922</v>
      </c>
      <c r="F113" s="180" t="s">
        <v>922</v>
      </c>
    </row>
    <row r="114" spans="2:6" ht="24">
      <c r="B114" s="178">
        <v>198</v>
      </c>
      <c r="D114" s="180" t="s">
        <v>71</v>
      </c>
      <c r="E114" s="180" t="s">
        <v>923</v>
      </c>
      <c r="F114" s="180" t="s">
        <v>923</v>
      </c>
    </row>
    <row r="115" spans="2:6" ht="13.2">
      <c r="B115" s="178">
        <v>199</v>
      </c>
      <c r="D115" s="180" t="s">
        <v>625</v>
      </c>
      <c r="E115" s="180" t="s">
        <v>924</v>
      </c>
      <c r="F115" s="180" t="s">
        <v>924</v>
      </c>
    </row>
    <row r="116" spans="2:6">
      <c r="B116" s="178">
        <v>200</v>
      </c>
      <c r="D116" s="180" t="s">
        <v>72</v>
      </c>
      <c r="E116" s="180" t="s">
        <v>73</v>
      </c>
      <c r="F116" s="180" t="s">
        <v>73</v>
      </c>
    </row>
    <row r="117" spans="2:6" ht="13.2">
      <c r="B117" s="178">
        <v>201</v>
      </c>
      <c r="D117" s="180" t="s">
        <v>617</v>
      </c>
      <c r="E117" s="180" t="s">
        <v>925</v>
      </c>
      <c r="F117" s="180" t="s">
        <v>925</v>
      </c>
    </row>
    <row r="118" spans="2:6" ht="13.2">
      <c r="B118" s="178">
        <v>202</v>
      </c>
      <c r="D118" s="180" t="s">
        <v>355</v>
      </c>
      <c r="E118" s="180" t="s">
        <v>926</v>
      </c>
      <c r="F118" s="180" t="s">
        <v>926</v>
      </c>
    </row>
    <row r="119" spans="2:6" ht="13.2">
      <c r="B119" s="178">
        <v>203</v>
      </c>
      <c r="D119" s="180" t="s">
        <v>356</v>
      </c>
      <c r="E119" s="180" t="s">
        <v>927</v>
      </c>
      <c r="F119" s="180" t="s">
        <v>927</v>
      </c>
    </row>
    <row r="120" spans="2:6" ht="13.2">
      <c r="B120" s="178">
        <v>204</v>
      </c>
      <c r="D120" s="180" t="s">
        <v>357</v>
      </c>
      <c r="E120" s="180" t="s">
        <v>928</v>
      </c>
      <c r="F120" s="180" t="s">
        <v>928</v>
      </c>
    </row>
    <row r="121" spans="2:6" ht="13.2">
      <c r="B121" s="178">
        <v>205</v>
      </c>
      <c r="D121" s="180" t="s">
        <v>608</v>
      </c>
      <c r="E121" s="180" t="s">
        <v>929</v>
      </c>
      <c r="F121" s="180" t="s">
        <v>929</v>
      </c>
    </row>
    <row r="122" spans="2:6" ht="13.2">
      <c r="B122" s="178">
        <v>206</v>
      </c>
      <c r="D122" s="180" t="s">
        <v>601</v>
      </c>
      <c r="E122" s="180" t="s">
        <v>930</v>
      </c>
      <c r="F122" s="180" t="s">
        <v>930</v>
      </c>
    </row>
    <row r="123" spans="2:6" ht="13.2">
      <c r="B123" s="178">
        <v>207</v>
      </c>
      <c r="D123" s="180" t="s">
        <v>74</v>
      </c>
      <c r="E123" s="180" t="s">
        <v>931</v>
      </c>
      <c r="F123" s="180" t="s">
        <v>931</v>
      </c>
    </row>
    <row r="124" spans="2:6" ht="24">
      <c r="B124" s="178">
        <v>208</v>
      </c>
      <c r="D124" s="180" t="s">
        <v>75</v>
      </c>
      <c r="E124" s="180" t="s">
        <v>932</v>
      </c>
      <c r="F124" s="180" t="s">
        <v>932</v>
      </c>
    </row>
    <row r="125" spans="2:6" ht="24">
      <c r="B125" s="178">
        <v>209</v>
      </c>
      <c r="D125" s="180" t="s">
        <v>76</v>
      </c>
      <c r="E125" s="180" t="s">
        <v>933</v>
      </c>
      <c r="F125" s="180" t="s">
        <v>933</v>
      </c>
    </row>
    <row r="126" spans="2:6" ht="13.2">
      <c r="B126" s="178">
        <v>210</v>
      </c>
      <c r="D126" s="180" t="s">
        <v>458</v>
      </c>
      <c r="E126" s="180" t="s">
        <v>934</v>
      </c>
      <c r="F126" s="180" t="s">
        <v>934</v>
      </c>
    </row>
    <row r="127" spans="2:6">
      <c r="B127" s="178">
        <v>211</v>
      </c>
      <c r="D127" s="180" t="s">
        <v>77</v>
      </c>
      <c r="E127" s="180" t="s">
        <v>77</v>
      </c>
      <c r="F127" s="180" t="s">
        <v>77</v>
      </c>
    </row>
    <row r="128" spans="2:6" ht="13.2">
      <c r="B128" s="178">
        <v>212</v>
      </c>
      <c r="D128" s="180" t="s">
        <v>78</v>
      </c>
      <c r="E128" s="180" t="s">
        <v>935</v>
      </c>
      <c r="F128" s="180" t="s">
        <v>935</v>
      </c>
    </row>
    <row r="129" spans="2:6" ht="13.2">
      <c r="B129" s="178">
        <v>213</v>
      </c>
      <c r="D129" s="180" t="s">
        <v>79</v>
      </c>
      <c r="E129" s="180" t="s">
        <v>936</v>
      </c>
      <c r="F129" s="180" t="s">
        <v>936</v>
      </c>
    </row>
    <row r="130" spans="2:6" ht="13.2">
      <c r="B130" s="178">
        <v>214</v>
      </c>
      <c r="D130" s="180" t="s">
        <v>80</v>
      </c>
      <c r="E130" s="180" t="s">
        <v>937</v>
      </c>
      <c r="F130" s="180" t="s">
        <v>937</v>
      </c>
    </row>
    <row r="131" spans="2:6" ht="13.2">
      <c r="B131" s="178">
        <v>215</v>
      </c>
      <c r="D131" s="180" t="s">
        <v>358</v>
      </c>
      <c r="E131" s="180" t="s">
        <v>938</v>
      </c>
      <c r="F131" s="180" t="s">
        <v>938</v>
      </c>
    </row>
    <row r="132" spans="2:6" ht="13.2">
      <c r="B132" s="178">
        <v>216</v>
      </c>
      <c r="D132" s="180" t="s">
        <v>81</v>
      </c>
      <c r="E132" s="180" t="s">
        <v>939</v>
      </c>
      <c r="F132" s="180" t="s">
        <v>939</v>
      </c>
    </row>
    <row r="133" spans="2:6" ht="13.2">
      <c r="B133" s="178">
        <v>217</v>
      </c>
      <c r="D133" s="180" t="s">
        <v>359</v>
      </c>
      <c r="E133" s="180" t="s">
        <v>940</v>
      </c>
      <c r="F133" s="180" t="s">
        <v>940</v>
      </c>
    </row>
    <row r="134" spans="2:6" ht="13.2">
      <c r="B134" s="178">
        <v>218</v>
      </c>
      <c r="D134" s="180" t="s">
        <v>82</v>
      </c>
      <c r="E134" s="180" t="s">
        <v>941</v>
      </c>
      <c r="F134" s="180" t="s">
        <v>941</v>
      </c>
    </row>
    <row r="135" spans="2:6" ht="13.2">
      <c r="B135" s="178">
        <v>219</v>
      </c>
      <c r="D135" s="180" t="s">
        <v>83</v>
      </c>
      <c r="E135" s="180" t="s">
        <v>942</v>
      </c>
      <c r="F135" s="180" t="s">
        <v>942</v>
      </c>
    </row>
    <row r="136" spans="2:6" ht="13.2">
      <c r="B136" s="178">
        <v>220</v>
      </c>
      <c r="D136" s="180" t="s">
        <v>84</v>
      </c>
      <c r="E136" s="180" t="s">
        <v>943</v>
      </c>
      <c r="F136" s="180" t="s">
        <v>943</v>
      </c>
    </row>
    <row r="137" spans="2:6" ht="13.2">
      <c r="B137" s="178">
        <v>221</v>
      </c>
      <c r="D137" s="180" t="s">
        <v>360</v>
      </c>
      <c r="E137" s="180" t="s">
        <v>944</v>
      </c>
      <c r="F137" s="180" t="s">
        <v>944</v>
      </c>
    </row>
    <row r="138" spans="2:6" ht="13.2">
      <c r="B138" s="178">
        <v>222</v>
      </c>
      <c r="D138" s="180" t="s">
        <v>85</v>
      </c>
      <c r="E138" s="180" t="s">
        <v>945</v>
      </c>
      <c r="F138" s="180" t="s">
        <v>945</v>
      </c>
    </row>
    <row r="139" spans="2:6" ht="13.2">
      <c r="B139" s="178">
        <v>223</v>
      </c>
      <c r="D139" s="180" t="s">
        <v>86</v>
      </c>
      <c r="E139" s="180" t="s">
        <v>946</v>
      </c>
      <c r="F139" s="180" t="s">
        <v>946</v>
      </c>
    </row>
    <row r="140" spans="2:6" ht="13.2">
      <c r="B140" s="178">
        <v>224</v>
      </c>
      <c r="C140" s="179" t="s">
        <v>470</v>
      </c>
      <c r="D140" s="180" t="s">
        <v>479</v>
      </c>
      <c r="E140" s="180" t="s">
        <v>947</v>
      </c>
      <c r="F140" s="180" t="s">
        <v>947</v>
      </c>
    </row>
    <row r="141" spans="2:6" ht="13.2">
      <c r="B141" s="178">
        <v>225</v>
      </c>
      <c r="D141" s="180" t="s">
        <v>87</v>
      </c>
      <c r="E141" s="180" t="s">
        <v>948</v>
      </c>
      <c r="F141" s="180" t="s">
        <v>948</v>
      </c>
    </row>
    <row r="142" spans="2:6" ht="13.2">
      <c r="B142" s="178">
        <v>226</v>
      </c>
      <c r="D142" s="180" t="s">
        <v>590</v>
      </c>
      <c r="E142" s="180" t="s">
        <v>949</v>
      </c>
      <c r="F142" s="180" t="s">
        <v>949</v>
      </c>
    </row>
    <row r="143" spans="2:6" ht="13.2">
      <c r="B143" s="178">
        <v>227</v>
      </c>
      <c r="D143" s="180" t="s">
        <v>361</v>
      </c>
      <c r="E143" s="180" t="s">
        <v>950</v>
      </c>
      <c r="F143" s="180" t="s">
        <v>950</v>
      </c>
    </row>
    <row r="144" spans="2:6" ht="13.2">
      <c r="B144" s="178">
        <v>228</v>
      </c>
      <c r="D144" s="180" t="s">
        <v>362</v>
      </c>
      <c r="E144" s="180" t="s">
        <v>951</v>
      </c>
      <c r="F144" s="180" t="s">
        <v>951</v>
      </c>
    </row>
    <row r="145" spans="2:6" ht="13.2">
      <c r="B145" s="178">
        <v>229</v>
      </c>
      <c r="D145" s="180" t="s">
        <v>544</v>
      </c>
      <c r="E145" s="180" t="s">
        <v>952</v>
      </c>
      <c r="F145" s="180" t="s">
        <v>952</v>
      </c>
    </row>
    <row r="146" spans="2:6" ht="13.2">
      <c r="B146" s="178">
        <v>230</v>
      </c>
      <c r="D146" s="180" t="s">
        <v>543</v>
      </c>
      <c r="E146" s="180" t="s">
        <v>953</v>
      </c>
      <c r="F146" s="180" t="s">
        <v>953</v>
      </c>
    </row>
    <row r="147" spans="2:6" ht="13.2">
      <c r="B147" s="178">
        <v>231</v>
      </c>
      <c r="D147" s="180" t="s">
        <v>363</v>
      </c>
      <c r="E147" s="180" t="s">
        <v>954</v>
      </c>
      <c r="F147" s="180" t="s">
        <v>954</v>
      </c>
    </row>
    <row r="148" spans="2:6" ht="13.2">
      <c r="B148" s="178">
        <v>232</v>
      </c>
      <c r="D148" s="180" t="s">
        <v>605</v>
      </c>
      <c r="E148" s="180" t="s">
        <v>955</v>
      </c>
      <c r="F148" s="180" t="s">
        <v>955</v>
      </c>
    </row>
    <row r="149" spans="2:6" ht="13.2">
      <c r="B149" s="178">
        <v>233</v>
      </c>
      <c r="D149" s="180" t="s">
        <v>364</v>
      </c>
      <c r="E149" s="180" t="s">
        <v>956</v>
      </c>
      <c r="F149" s="180" t="s">
        <v>956</v>
      </c>
    </row>
    <row r="150" spans="2:6" ht="13.2">
      <c r="B150" s="178">
        <v>234</v>
      </c>
      <c r="D150" s="180" t="s">
        <v>365</v>
      </c>
      <c r="E150" s="180" t="s">
        <v>957</v>
      </c>
      <c r="F150" s="180" t="s">
        <v>957</v>
      </c>
    </row>
    <row r="151" spans="2:6" ht="13.2">
      <c r="B151" s="178">
        <v>235</v>
      </c>
      <c r="D151" s="180" t="s">
        <v>88</v>
      </c>
      <c r="E151" s="180" t="s">
        <v>958</v>
      </c>
      <c r="F151" s="180" t="s">
        <v>958</v>
      </c>
    </row>
    <row r="152" spans="2:6" ht="13.2">
      <c r="B152" s="178">
        <v>236</v>
      </c>
      <c r="D152" s="180" t="s">
        <v>366</v>
      </c>
      <c r="E152" s="180" t="s">
        <v>959</v>
      </c>
      <c r="F152" s="180" t="s">
        <v>959</v>
      </c>
    </row>
    <row r="153" spans="2:6" ht="13.2">
      <c r="B153" s="178">
        <v>237</v>
      </c>
      <c r="D153" s="180" t="s">
        <v>602</v>
      </c>
      <c r="E153" s="180" t="s">
        <v>960</v>
      </c>
      <c r="F153" s="180" t="s">
        <v>960</v>
      </c>
    </row>
    <row r="154" spans="2:6" ht="13.2">
      <c r="B154" s="178">
        <v>238</v>
      </c>
      <c r="D154" s="180" t="s">
        <v>89</v>
      </c>
      <c r="E154" s="180" t="s">
        <v>961</v>
      </c>
      <c r="F154" s="180" t="s">
        <v>961</v>
      </c>
    </row>
    <row r="155" spans="2:6" ht="13.2">
      <c r="B155" s="178">
        <v>239</v>
      </c>
      <c r="D155" s="180" t="s">
        <v>90</v>
      </c>
      <c r="E155" s="180" t="s">
        <v>962</v>
      </c>
      <c r="F155" s="180" t="s">
        <v>962</v>
      </c>
    </row>
    <row r="156" spans="2:6" ht="13.2">
      <c r="B156" s="178">
        <v>240</v>
      </c>
      <c r="D156" s="180" t="s">
        <v>91</v>
      </c>
      <c r="E156" s="180" t="s">
        <v>963</v>
      </c>
      <c r="F156" s="180" t="s">
        <v>963</v>
      </c>
    </row>
    <row r="157" spans="2:6" ht="13.2">
      <c r="B157" s="178">
        <v>241</v>
      </c>
      <c r="D157" s="180" t="s">
        <v>367</v>
      </c>
      <c r="E157" s="180" t="s">
        <v>964</v>
      </c>
      <c r="F157" s="180" t="s">
        <v>964</v>
      </c>
    </row>
    <row r="158" spans="2:6" ht="13.2">
      <c r="B158" s="178">
        <v>242</v>
      </c>
      <c r="D158" s="180" t="s">
        <v>368</v>
      </c>
      <c r="E158" s="180" t="s">
        <v>965</v>
      </c>
      <c r="F158" s="180" t="s">
        <v>965</v>
      </c>
    </row>
    <row r="159" spans="2:6" ht="13.2">
      <c r="B159" s="178">
        <v>243</v>
      </c>
      <c r="D159" s="180" t="s">
        <v>591</v>
      </c>
      <c r="E159" s="180" t="s">
        <v>966</v>
      </c>
      <c r="F159" s="180" t="s">
        <v>966</v>
      </c>
    </row>
    <row r="160" spans="2:6" ht="13.2">
      <c r="B160" s="178">
        <v>244</v>
      </c>
      <c r="D160" s="180" t="s">
        <v>651</v>
      </c>
      <c r="E160" s="180" t="s">
        <v>967</v>
      </c>
      <c r="F160" s="180" t="s">
        <v>967</v>
      </c>
    </row>
    <row r="161" spans="2:6" ht="13.2">
      <c r="B161" s="178">
        <v>245</v>
      </c>
      <c r="D161" s="180" t="s">
        <v>652</v>
      </c>
      <c r="E161" s="180" t="s">
        <v>968</v>
      </c>
      <c r="F161" s="180" t="s">
        <v>968</v>
      </c>
    </row>
    <row r="162" spans="2:6" ht="13.2">
      <c r="B162" s="178">
        <v>246</v>
      </c>
      <c r="D162" s="180" t="s">
        <v>369</v>
      </c>
      <c r="E162" s="180" t="s">
        <v>969</v>
      </c>
      <c r="F162" s="180" t="s">
        <v>969</v>
      </c>
    </row>
    <row r="163" spans="2:6" ht="13.2">
      <c r="B163" s="178">
        <v>247</v>
      </c>
      <c r="D163" s="180" t="s">
        <v>593</v>
      </c>
      <c r="E163" s="180" t="s">
        <v>970</v>
      </c>
      <c r="F163" s="180" t="s">
        <v>970</v>
      </c>
    </row>
    <row r="164" spans="2:6" ht="13.2">
      <c r="B164" s="178">
        <v>248</v>
      </c>
      <c r="D164" s="180" t="s">
        <v>370</v>
      </c>
      <c r="E164" s="180" t="s">
        <v>971</v>
      </c>
      <c r="F164" s="180" t="s">
        <v>971</v>
      </c>
    </row>
    <row r="165" spans="2:6" ht="13.2">
      <c r="B165" s="178">
        <v>249</v>
      </c>
      <c r="D165" s="180" t="s">
        <v>371</v>
      </c>
      <c r="E165" s="180" t="s">
        <v>972</v>
      </c>
      <c r="F165" s="180" t="s">
        <v>972</v>
      </c>
    </row>
    <row r="166" spans="2:6" ht="13.2">
      <c r="B166" s="178">
        <v>250</v>
      </c>
      <c r="D166" s="180" t="s">
        <v>92</v>
      </c>
      <c r="E166" s="180" t="s">
        <v>973</v>
      </c>
      <c r="F166" s="180" t="s">
        <v>973</v>
      </c>
    </row>
    <row r="167" spans="2:6" ht="13.2">
      <c r="B167" s="178">
        <v>251</v>
      </c>
      <c r="D167" s="180" t="s">
        <v>93</v>
      </c>
      <c r="E167" s="180" t="s">
        <v>974</v>
      </c>
      <c r="F167" s="180" t="s">
        <v>974</v>
      </c>
    </row>
    <row r="168" spans="2:6" ht="13.2">
      <c r="B168" s="178">
        <v>252</v>
      </c>
      <c r="D168" s="180" t="s">
        <v>592</v>
      </c>
      <c r="E168" s="180" t="s">
        <v>975</v>
      </c>
      <c r="F168" s="180" t="s">
        <v>975</v>
      </c>
    </row>
    <row r="169" spans="2:6" ht="13.2">
      <c r="B169" s="178">
        <v>253</v>
      </c>
      <c r="D169" s="180" t="s">
        <v>661</v>
      </c>
      <c r="E169" s="180" t="s">
        <v>976</v>
      </c>
      <c r="F169" s="180" t="s">
        <v>976</v>
      </c>
    </row>
    <row r="170" spans="2:6" ht="13.2">
      <c r="B170" s="178">
        <v>254</v>
      </c>
      <c r="D170" s="180" t="s">
        <v>94</v>
      </c>
      <c r="E170" s="180" t="s">
        <v>977</v>
      </c>
      <c r="F170" s="180" t="s">
        <v>977</v>
      </c>
    </row>
    <row r="171" spans="2:6" ht="13.2">
      <c r="B171" s="178">
        <v>255</v>
      </c>
      <c r="C171" s="179" t="s">
        <v>470</v>
      </c>
      <c r="D171" s="180" t="s">
        <v>476</v>
      </c>
      <c r="E171" s="180" t="s">
        <v>978</v>
      </c>
      <c r="F171" s="180" t="s">
        <v>978</v>
      </c>
    </row>
    <row r="172" spans="2:6" ht="13.2">
      <c r="B172" s="178">
        <v>256</v>
      </c>
      <c r="D172" s="180" t="s">
        <v>95</v>
      </c>
      <c r="E172" s="180" t="s">
        <v>979</v>
      </c>
      <c r="F172" s="180" t="s">
        <v>979</v>
      </c>
    </row>
    <row r="173" spans="2:6" ht="13.2">
      <c r="B173" s="178">
        <v>257</v>
      </c>
      <c r="D173" s="180" t="s">
        <v>372</v>
      </c>
      <c r="E173" s="180" t="s">
        <v>980</v>
      </c>
      <c r="F173" s="180" t="s">
        <v>980</v>
      </c>
    </row>
    <row r="174" spans="2:6" ht="13.2">
      <c r="B174" s="178">
        <v>258</v>
      </c>
      <c r="D174" s="180" t="s">
        <v>373</v>
      </c>
      <c r="E174" s="180" t="s">
        <v>981</v>
      </c>
      <c r="F174" s="180" t="s">
        <v>981</v>
      </c>
    </row>
    <row r="175" spans="2:6" ht="13.2">
      <c r="B175" s="178">
        <v>259</v>
      </c>
      <c r="D175" s="180" t="s">
        <v>374</v>
      </c>
      <c r="E175" s="180" t="s">
        <v>982</v>
      </c>
      <c r="F175" s="180" t="s">
        <v>982</v>
      </c>
    </row>
    <row r="176" spans="2:6" ht="13.2">
      <c r="B176" s="178">
        <v>260</v>
      </c>
      <c r="D176" s="180" t="s">
        <v>522</v>
      </c>
      <c r="E176" s="180" t="s">
        <v>983</v>
      </c>
      <c r="F176" s="180" t="s">
        <v>983</v>
      </c>
    </row>
    <row r="177" spans="2:6" ht="13.2">
      <c r="B177" s="178">
        <v>261</v>
      </c>
      <c r="D177" s="180" t="s">
        <v>524</v>
      </c>
      <c r="E177" s="180" t="s">
        <v>984</v>
      </c>
      <c r="F177" s="180" t="s">
        <v>984</v>
      </c>
    </row>
    <row r="178" spans="2:6" ht="24">
      <c r="B178" s="178">
        <v>262</v>
      </c>
      <c r="D178" s="180" t="s">
        <v>525</v>
      </c>
      <c r="E178" s="180" t="s">
        <v>985</v>
      </c>
      <c r="F178" s="180" t="s">
        <v>985</v>
      </c>
    </row>
    <row r="179" spans="2:6" ht="13.2">
      <c r="B179" s="178">
        <v>263</v>
      </c>
      <c r="D179" s="180" t="s">
        <v>546</v>
      </c>
      <c r="E179" s="180" t="s">
        <v>986</v>
      </c>
      <c r="F179" s="180" t="s">
        <v>986</v>
      </c>
    </row>
    <row r="180" spans="2:6" ht="13.2">
      <c r="B180" s="178">
        <v>264</v>
      </c>
      <c r="D180" s="180" t="s">
        <v>523</v>
      </c>
      <c r="E180" s="180" t="s">
        <v>987</v>
      </c>
      <c r="F180" s="180" t="s">
        <v>987</v>
      </c>
    </row>
    <row r="181" spans="2:6" ht="13.2">
      <c r="B181" s="178">
        <v>265</v>
      </c>
      <c r="D181" s="180" t="s">
        <v>527</v>
      </c>
      <c r="E181" s="180" t="s">
        <v>988</v>
      </c>
      <c r="F181" s="180" t="s">
        <v>988</v>
      </c>
    </row>
    <row r="182" spans="2:6" ht="13.2">
      <c r="B182" s="178">
        <v>266</v>
      </c>
      <c r="D182" s="180" t="s">
        <v>521</v>
      </c>
      <c r="E182" s="180" t="s">
        <v>989</v>
      </c>
      <c r="F182" s="180" t="s">
        <v>989</v>
      </c>
    </row>
    <row r="183" spans="2:6" ht="13.2">
      <c r="B183" s="178">
        <v>267</v>
      </c>
      <c r="D183" s="180" t="s">
        <v>96</v>
      </c>
      <c r="E183" s="180" t="s">
        <v>990</v>
      </c>
      <c r="F183" s="180" t="s">
        <v>990</v>
      </c>
    </row>
    <row r="184" spans="2:6" ht="13.2">
      <c r="B184" s="178">
        <v>268</v>
      </c>
      <c r="D184" s="180" t="s">
        <v>612</v>
      </c>
      <c r="E184" s="180" t="s">
        <v>991</v>
      </c>
      <c r="F184" s="180" t="s">
        <v>991</v>
      </c>
    </row>
    <row r="185" spans="2:6" ht="13.2">
      <c r="B185" s="178">
        <v>269</v>
      </c>
      <c r="D185" s="180" t="s">
        <v>97</v>
      </c>
      <c r="E185" s="180" t="s">
        <v>992</v>
      </c>
      <c r="F185" s="180" t="s">
        <v>992</v>
      </c>
    </row>
    <row r="186" spans="2:6" ht="13.2">
      <c r="B186" s="178">
        <v>270</v>
      </c>
      <c r="D186" s="180" t="s">
        <v>375</v>
      </c>
      <c r="E186" s="180" t="s">
        <v>993</v>
      </c>
      <c r="F186" s="180" t="s">
        <v>993</v>
      </c>
    </row>
    <row r="187" spans="2:6" ht="24">
      <c r="B187" s="178">
        <v>271</v>
      </c>
      <c r="D187" s="180" t="s">
        <v>98</v>
      </c>
      <c r="E187" s="180" t="s">
        <v>994</v>
      </c>
      <c r="F187" s="180" t="s">
        <v>994</v>
      </c>
    </row>
    <row r="188" spans="2:6" ht="39.6">
      <c r="B188" s="178">
        <v>272</v>
      </c>
      <c r="D188" s="180" t="s">
        <v>99</v>
      </c>
      <c r="E188" s="180" t="s">
        <v>995</v>
      </c>
      <c r="F188" s="180" t="s">
        <v>995</v>
      </c>
    </row>
    <row r="189" spans="2:6" ht="13.2">
      <c r="B189" s="178">
        <v>273</v>
      </c>
      <c r="D189" s="180" t="s">
        <v>100</v>
      </c>
      <c r="E189" s="180" t="s">
        <v>996</v>
      </c>
      <c r="F189" s="180" t="s">
        <v>996</v>
      </c>
    </row>
    <row r="190" spans="2:6" ht="13.2">
      <c r="B190" s="178">
        <v>274</v>
      </c>
      <c r="D190" s="180" t="s">
        <v>101</v>
      </c>
      <c r="E190" s="180" t="s">
        <v>997</v>
      </c>
      <c r="F190" s="180" t="s">
        <v>997</v>
      </c>
    </row>
    <row r="191" spans="2:6" ht="13.2">
      <c r="B191" s="178">
        <v>275</v>
      </c>
      <c r="D191" s="180" t="s">
        <v>102</v>
      </c>
      <c r="E191" s="180" t="s">
        <v>998</v>
      </c>
      <c r="F191" s="180" t="s">
        <v>998</v>
      </c>
    </row>
    <row r="192" spans="2:6" ht="13.2">
      <c r="B192" s="178">
        <v>276</v>
      </c>
      <c r="D192" s="180" t="s">
        <v>103</v>
      </c>
      <c r="E192" s="180" t="s">
        <v>999</v>
      </c>
      <c r="F192" s="180" t="s">
        <v>999</v>
      </c>
    </row>
    <row r="193" spans="2:6" ht="13.2">
      <c r="B193" s="178">
        <v>277</v>
      </c>
      <c r="D193" s="180" t="s">
        <v>104</v>
      </c>
      <c r="E193" s="180" t="s">
        <v>1000</v>
      </c>
      <c r="F193" s="180" t="s">
        <v>1000</v>
      </c>
    </row>
    <row r="194" spans="2:6" ht="13.2">
      <c r="B194" s="178">
        <v>278</v>
      </c>
      <c r="D194" s="180" t="s">
        <v>105</v>
      </c>
      <c r="E194" s="180" t="s">
        <v>1001</v>
      </c>
      <c r="F194" s="180" t="s">
        <v>1001</v>
      </c>
    </row>
    <row r="195" spans="2:6" ht="13.2">
      <c r="B195" s="178">
        <v>279</v>
      </c>
      <c r="D195" s="180" t="s">
        <v>106</v>
      </c>
      <c r="E195" s="180" t="s">
        <v>1002</v>
      </c>
      <c r="F195" s="180" t="s">
        <v>1002</v>
      </c>
    </row>
    <row r="196" spans="2:6" ht="13.2">
      <c r="B196" s="178">
        <v>280</v>
      </c>
      <c r="D196" s="180" t="s">
        <v>107</v>
      </c>
      <c r="E196" s="180" t="s">
        <v>1003</v>
      </c>
      <c r="F196" s="180" t="s">
        <v>1003</v>
      </c>
    </row>
    <row r="197" spans="2:6" ht="13.2">
      <c r="B197" s="178">
        <v>281</v>
      </c>
      <c r="D197" s="180" t="s">
        <v>108</v>
      </c>
      <c r="E197" s="180" t="s">
        <v>1004</v>
      </c>
      <c r="F197" s="180" t="s">
        <v>1004</v>
      </c>
    </row>
    <row r="198" spans="2:6" ht="13.2">
      <c r="B198" s="178">
        <v>282</v>
      </c>
      <c r="D198" s="180" t="s">
        <v>109</v>
      </c>
      <c r="E198" s="180" t="s">
        <v>1005</v>
      </c>
      <c r="F198" s="180" t="s">
        <v>1005</v>
      </c>
    </row>
    <row r="199" spans="2:6" ht="13.2">
      <c r="B199" s="178">
        <v>283</v>
      </c>
      <c r="D199" s="180" t="s">
        <v>110</v>
      </c>
      <c r="E199" s="180" t="s">
        <v>1006</v>
      </c>
      <c r="F199" s="180" t="s">
        <v>1006</v>
      </c>
    </row>
    <row r="200" spans="2:6" ht="26.4">
      <c r="B200" s="178">
        <v>284</v>
      </c>
      <c r="D200" s="180" t="s">
        <v>111</v>
      </c>
      <c r="E200" s="180" t="s">
        <v>1007</v>
      </c>
      <c r="F200" s="180" t="s">
        <v>1007</v>
      </c>
    </row>
    <row r="201" spans="2:6" ht="13.2">
      <c r="B201" s="178">
        <v>285</v>
      </c>
      <c r="D201" s="180" t="s">
        <v>376</v>
      </c>
      <c r="E201" s="180" t="s">
        <v>1008</v>
      </c>
      <c r="F201" s="180" t="s">
        <v>1008</v>
      </c>
    </row>
    <row r="202" spans="2:6" ht="13.2">
      <c r="B202" s="178">
        <v>286</v>
      </c>
      <c r="D202" s="180" t="s">
        <v>112</v>
      </c>
      <c r="E202" s="180" t="s">
        <v>1009</v>
      </c>
      <c r="F202" s="180" t="s">
        <v>1009</v>
      </c>
    </row>
    <row r="203" spans="2:6" ht="13.2">
      <c r="B203" s="178">
        <v>287</v>
      </c>
      <c r="D203" s="180" t="s">
        <v>113</v>
      </c>
      <c r="E203" s="180" t="s">
        <v>1010</v>
      </c>
      <c r="F203" s="180" t="s">
        <v>1010</v>
      </c>
    </row>
    <row r="204" spans="2:6" ht="13.2">
      <c r="B204" s="178">
        <v>288</v>
      </c>
      <c r="D204" s="180" t="s">
        <v>114</v>
      </c>
      <c r="E204" s="180" t="s">
        <v>1011</v>
      </c>
      <c r="F204" s="180" t="s">
        <v>1011</v>
      </c>
    </row>
    <row r="205" spans="2:6" ht="13.2">
      <c r="B205" s="178">
        <v>289</v>
      </c>
      <c r="D205" s="180" t="s">
        <v>377</v>
      </c>
      <c r="E205" s="180" t="s">
        <v>1012</v>
      </c>
      <c r="F205" s="180" t="s">
        <v>1012</v>
      </c>
    </row>
    <row r="206" spans="2:6" ht="13.2">
      <c r="B206" s="178">
        <v>290</v>
      </c>
      <c r="D206" s="180" t="s">
        <v>378</v>
      </c>
      <c r="E206" s="180" t="s">
        <v>1013</v>
      </c>
      <c r="F206" s="180" t="s">
        <v>1013</v>
      </c>
    </row>
    <row r="207" spans="2:6" ht="13.2">
      <c r="B207" s="178">
        <v>291</v>
      </c>
      <c r="D207" s="180" t="s">
        <v>596</v>
      </c>
      <c r="E207" s="180" t="s">
        <v>1014</v>
      </c>
      <c r="F207" s="180" t="s">
        <v>1014</v>
      </c>
    </row>
    <row r="208" spans="2:6" ht="13.2">
      <c r="B208" s="178">
        <v>292</v>
      </c>
      <c r="D208" s="180" t="s">
        <v>627</v>
      </c>
      <c r="E208" s="180" t="s">
        <v>1015</v>
      </c>
      <c r="F208" s="180" t="s">
        <v>1015</v>
      </c>
    </row>
    <row r="209" spans="2:6" ht="13.2">
      <c r="B209" s="178">
        <v>293</v>
      </c>
      <c r="D209" s="180" t="s">
        <v>597</v>
      </c>
      <c r="E209" s="180" t="s">
        <v>1016</v>
      </c>
      <c r="F209" s="180" t="s">
        <v>1016</v>
      </c>
    </row>
    <row r="210" spans="2:6" ht="13.2">
      <c r="B210" s="178">
        <v>294</v>
      </c>
      <c r="D210" s="180" t="s">
        <v>595</v>
      </c>
      <c r="E210" s="180" t="s">
        <v>1017</v>
      </c>
      <c r="F210" s="180" t="s">
        <v>1017</v>
      </c>
    </row>
    <row r="211" spans="2:6" ht="13.2">
      <c r="B211" s="178">
        <v>295</v>
      </c>
      <c r="D211" s="180" t="s">
        <v>379</v>
      </c>
      <c r="E211" s="180" t="s">
        <v>1018</v>
      </c>
      <c r="F211" s="180" t="s">
        <v>1018</v>
      </c>
    </row>
    <row r="212" spans="2:6" ht="13.2">
      <c r="B212" s="178">
        <v>296</v>
      </c>
      <c r="D212" s="180" t="s">
        <v>454</v>
      </c>
      <c r="E212" s="180" t="s">
        <v>1019</v>
      </c>
      <c r="F212" s="180" t="s">
        <v>1019</v>
      </c>
    </row>
    <row r="213" spans="2:6" ht="13.2">
      <c r="B213" s="178">
        <v>297</v>
      </c>
      <c r="D213" s="180" t="s">
        <v>115</v>
      </c>
      <c r="E213" s="180" t="s">
        <v>1020</v>
      </c>
      <c r="F213" s="180" t="s">
        <v>1020</v>
      </c>
    </row>
    <row r="214" spans="2:6" ht="13.2">
      <c r="B214" s="178">
        <v>298</v>
      </c>
      <c r="C214" s="179" t="s">
        <v>547</v>
      </c>
      <c r="D214" s="180" t="s">
        <v>583</v>
      </c>
      <c r="E214" s="180" t="s">
        <v>1021</v>
      </c>
      <c r="F214" s="180" t="s">
        <v>1021</v>
      </c>
    </row>
    <row r="215" spans="2:6" ht="13.2">
      <c r="B215" s="178">
        <v>299</v>
      </c>
      <c r="D215" s="180" t="s">
        <v>604</v>
      </c>
      <c r="E215" s="180" t="s">
        <v>1022</v>
      </c>
      <c r="F215" s="180" t="s">
        <v>1022</v>
      </c>
    </row>
    <row r="216" spans="2:6" ht="13.2">
      <c r="B216" s="178">
        <v>300</v>
      </c>
      <c r="D216" s="180" t="s">
        <v>448</v>
      </c>
      <c r="E216" s="180" t="s">
        <v>1023</v>
      </c>
      <c r="F216" s="180" t="s">
        <v>1023</v>
      </c>
    </row>
    <row r="217" spans="2:6" ht="13.2">
      <c r="B217" s="178">
        <v>301</v>
      </c>
      <c r="D217" s="180" t="s">
        <v>491</v>
      </c>
      <c r="E217" s="180" t="s">
        <v>1024</v>
      </c>
      <c r="F217" s="180" t="s">
        <v>1024</v>
      </c>
    </row>
    <row r="218" spans="2:6" ht="13.2">
      <c r="B218" s="178">
        <v>302</v>
      </c>
      <c r="C218" s="179" t="s">
        <v>547</v>
      </c>
      <c r="D218" s="185" t="s">
        <v>642</v>
      </c>
      <c r="E218" s="185" t="s">
        <v>1025</v>
      </c>
      <c r="F218" s="185" t="s">
        <v>1025</v>
      </c>
    </row>
    <row r="219" spans="2:6" ht="13.2">
      <c r="B219" s="178">
        <v>303</v>
      </c>
      <c r="C219" s="179" t="s">
        <v>547</v>
      </c>
      <c r="D219" s="185" t="s">
        <v>555</v>
      </c>
      <c r="E219" s="185" t="s">
        <v>1026</v>
      </c>
      <c r="F219" s="185" t="s">
        <v>1026</v>
      </c>
    </row>
    <row r="220" spans="2:6" ht="13.2">
      <c r="B220" s="178">
        <v>304</v>
      </c>
      <c r="C220" s="179" t="s">
        <v>547</v>
      </c>
      <c r="D220" s="185" t="s">
        <v>644</v>
      </c>
      <c r="E220" s="185" t="s">
        <v>1027</v>
      </c>
      <c r="F220" s="185" t="s">
        <v>1027</v>
      </c>
    </row>
    <row r="221" spans="2:6">
      <c r="B221" s="178">
        <v>305</v>
      </c>
      <c r="C221" s="179" t="s">
        <v>547</v>
      </c>
      <c r="D221" s="185" t="s">
        <v>814</v>
      </c>
      <c r="E221" s="185" t="s">
        <v>815</v>
      </c>
      <c r="F221" s="185" t="s">
        <v>815</v>
      </c>
    </row>
    <row r="222" spans="2:6">
      <c r="B222" s="178">
        <v>306</v>
      </c>
      <c r="C222" s="179" t="s">
        <v>547</v>
      </c>
      <c r="D222" s="185" t="s">
        <v>799</v>
      </c>
      <c r="E222" s="185" t="s">
        <v>643</v>
      </c>
      <c r="F222" s="185" t="s">
        <v>643</v>
      </c>
    </row>
    <row r="223" spans="2:6">
      <c r="B223" s="178">
        <v>307</v>
      </c>
      <c r="C223" s="179" t="s">
        <v>547</v>
      </c>
      <c r="D223" s="185" t="s">
        <v>801</v>
      </c>
      <c r="E223" s="185" t="s">
        <v>638</v>
      </c>
      <c r="F223" s="185" t="s">
        <v>638</v>
      </c>
    </row>
    <row r="224" spans="2:6">
      <c r="B224" s="178">
        <v>308</v>
      </c>
      <c r="C224" s="179" t="s">
        <v>547</v>
      </c>
      <c r="D224" s="185" t="s">
        <v>802</v>
      </c>
      <c r="E224" s="185" t="s">
        <v>639</v>
      </c>
      <c r="F224" s="185" t="s">
        <v>639</v>
      </c>
    </row>
    <row r="225" spans="2:6">
      <c r="B225" s="178">
        <v>309</v>
      </c>
      <c r="C225" s="179" t="s">
        <v>547</v>
      </c>
      <c r="D225" s="185" t="s">
        <v>803</v>
      </c>
      <c r="E225" s="185" t="s">
        <v>640</v>
      </c>
      <c r="F225" s="185" t="s">
        <v>640</v>
      </c>
    </row>
    <row r="226" spans="2:6">
      <c r="B226" s="178">
        <v>310</v>
      </c>
      <c r="C226" s="179" t="s">
        <v>547</v>
      </c>
      <c r="D226" s="185" t="s">
        <v>804</v>
      </c>
      <c r="E226" s="185" t="s">
        <v>641</v>
      </c>
      <c r="F226" s="185" t="s">
        <v>641</v>
      </c>
    </row>
    <row r="227" spans="2:6">
      <c r="B227" s="178">
        <v>311</v>
      </c>
      <c r="C227" s="179" t="s">
        <v>547</v>
      </c>
      <c r="D227" s="185" t="s">
        <v>805</v>
      </c>
      <c r="E227" s="185" t="s">
        <v>645</v>
      </c>
      <c r="F227" s="185" t="s">
        <v>645</v>
      </c>
    </row>
    <row r="228" spans="2:6">
      <c r="B228" s="178">
        <v>312</v>
      </c>
      <c r="C228" s="179" t="s">
        <v>547</v>
      </c>
      <c r="D228" s="185" t="s">
        <v>806</v>
      </c>
      <c r="E228" s="185" t="s">
        <v>646</v>
      </c>
      <c r="F228" s="185" t="s">
        <v>646</v>
      </c>
    </row>
    <row r="229" spans="2:6">
      <c r="B229" s="178">
        <v>313</v>
      </c>
      <c r="C229" s="179" t="s">
        <v>547</v>
      </c>
      <c r="D229" s="185" t="s">
        <v>807</v>
      </c>
      <c r="E229" s="185" t="s">
        <v>647</v>
      </c>
      <c r="F229" s="185" t="s">
        <v>647</v>
      </c>
    </row>
    <row r="230" spans="2:6">
      <c r="B230" s="178">
        <v>314</v>
      </c>
      <c r="C230" s="179" t="s">
        <v>547</v>
      </c>
      <c r="D230" s="185" t="s">
        <v>808</v>
      </c>
      <c r="E230" s="185" t="s">
        <v>648</v>
      </c>
      <c r="F230" s="185" t="s">
        <v>648</v>
      </c>
    </row>
    <row r="231" spans="2:6">
      <c r="B231" s="178">
        <v>315</v>
      </c>
      <c r="C231" s="179" t="s">
        <v>547</v>
      </c>
      <c r="D231" s="185" t="s">
        <v>809</v>
      </c>
      <c r="E231" s="180" t="s">
        <v>548</v>
      </c>
      <c r="F231" s="180" t="s">
        <v>548</v>
      </c>
    </row>
    <row r="232" spans="2:6">
      <c r="B232" s="178">
        <v>316</v>
      </c>
      <c r="C232" s="179" t="s">
        <v>547</v>
      </c>
      <c r="D232" s="185" t="s">
        <v>810</v>
      </c>
      <c r="E232" s="180" t="s">
        <v>549</v>
      </c>
      <c r="F232" s="180" t="s">
        <v>549</v>
      </c>
    </row>
    <row r="233" spans="2:6">
      <c r="B233" s="178">
        <v>317</v>
      </c>
      <c r="C233" s="179" t="s">
        <v>547</v>
      </c>
      <c r="D233" s="185" t="s">
        <v>811</v>
      </c>
      <c r="E233" s="180" t="s">
        <v>550</v>
      </c>
      <c r="F233" s="180" t="s">
        <v>550</v>
      </c>
    </row>
    <row r="234" spans="2:6">
      <c r="B234" s="178">
        <v>318</v>
      </c>
      <c r="C234" s="179" t="s">
        <v>547</v>
      </c>
      <c r="D234" s="185" t="s">
        <v>812</v>
      </c>
      <c r="E234" s="180" t="s">
        <v>551</v>
      </c>
      <c r="F234" s="180" t="s">
        <v>551</v>
      </c>
    </row>
    <row r="235" spans="2:6">
      <c r="B235" s="178">
        <v>319</v>
      </c>
      <c r="C235" s="179" t="s">
        <v>547</v>
      </c>
      <c r="D235" s="185" t="s">
        <v>813</v>
      </c>
      <c r="E235" s="185" t="s">
        <v>585</v>
      </c>
      <c r="F235" s="185" t="s">
        <v>585</v>
      </c>
    </row>
    <row r="236" spans="2:6">
      <c r="B236" s="178">
        <v>320</v>
      </c>
      <c r="C236" s="179" t="s">
        <v>547</v>
      </c>
      <c r="D236" s="185" t="s">
        <v>1369</v>
      </c>
      <c r="E236" s="185" t="s">
        <v>1371</v>
      </c>
      <c r="F236" s="185" t="s">
        <v>1371</v>
      </c>
    </row>
    <row r="237" spans="2:6">
      <c r="B237" s="178">
        <v>321</v>
      </c>
      <c r="C237" s="179" t="s">
        <v>547</v>
      </c>
      <c r="D237" s="185" t="s">
        <v>1370</v>
      </c>
      <c r="E237" s="185" t="s">
        <v>1372</v>
      </c>
      <c r="F237" s="185" t="s">
        <v>1372</v>
      </c>
    </row>
    <row r="238" spans="2:6">
      <c r="B238" s="178">
        <v>322</v>
      </c>
      <c r="C238" s="179" t="s">
        <v>547</v>
      </c>
      <c r="D238" s="185"/>
      <c r="E238" s="185"/>
      <c r="F238" s="185"/>
    </row>
    <row r="239" spans="2:6" ht="26.4">
      <c r="B239" s="178">
        <v>323</v>
      </c>
      <c r="D239" s="180" t="s">
        <v>116</v>
      </c>
      <c r="E239" s="180" t="s">
        <v>1028</v>
      </c>
      <c r="F239" s="180" t="s">
        <v>1028</v>
      </c>
    </row>
    <row r="240" spans="2:6" ht="26.4">
      <c r="B240" s="178">
        <v>324</v>
      </c>
      <c r="D240" s="180" t="s">
        <v>117</v>
      </c>
      <c r="E240" s="180" t="s">
        <v>1029</v>
      </c>
      <c r="F240" s="180" t="s">
        <v>1029</v>
      </c>
    </row>
    <row r="241" spans="2:6" ht="26.4">
      <c r="B241" s="178">
        <v>325</v>
      </c>
      <c r="D241" s="180" t="s">
        <v>118</v>
      </c>
      <c r="E241" s="180" t="s">
        <v>1030</v>
      </c>
      <c r="F241" s="180" t="s">
        <v>1030</v>
      </c>
    </row>
    <row r="242" spans="2:6" ht="24">
      <c r="B242" s="178">
        <v>326</v>
      </c>
      <c r="C242" s="179" t="s">
        <v>547</v>
      </c>
      <c r="D242" s="180" t="s">
        <v>584</v>
      </c>
      <c r="E242" s="180" t="s">
        <v>1031</v>
      </c>
      <c r="F242" s="180" t="s">
        <v>1031</v>
      </c>
    </row>
    <row r="243" spans="2:6" ht="13.2">
      <c r="B243" s="178">
        <v>327</v>
      </c>
      <c r="D243" s="180" t="s">
        <v>119</v>
      </c>
      <c r="E243" s="180" t="s">
        <v>1032</v>
      </c>
      <c r="F243" s="180" t="s">
        <v>1032</v>
      </c>
    </row>
    <row r="244" spans="2:6" ht="13.2">
      <c r="B244" s="178">
        <v>328</v>
      </c>
      <c r="C244" s="179" t="s">
        <v>470</v>
      </c>
      <c r="D244" s="180" t="s">
        <v>480</v>
      </c>
      <c r="E244" s="180" t="s">
        <v>1033</v>
      </c>
      <c r="F244" s="180" t="s">
        <v>1033</v>
      </c>
    </row>
    <row r="245" spans="2:6" ht="13.2">
      <c r="B245" s="178">
        <v>329</v>
      </c>
      <c r="D245" s="180" t="s">
        <v>120</v>
      </c>
      <c r="E245" s="180" t="s">
        <v>1034</v>
      </c>
      <c r="F245" s="180" t="s">
        <v>1034</v>
      </c>
    </row>
    <row r="246" spans="2:6" ht="13.2">
      <c r="B246" s="178">
        <v>330</v>
      </c>
      <c r="D246" s="180" t="s">
        <v>121</v>
      </c>
      <c r="E246" s="180" t="s">
        <v>1035</v>
      </c>
      <c r="F246" s="180" t="s">
        <v>1035</v>
      </c>
    </row>
    <row r="247" spans="2:6" ht="13.2">
      <c r="B247" s="178">
        <v>331</v>
      </c>
      <c r="D247" s="180" t="s">
        <v>122</v>
      </c>
      <c r="E247" s="180" t="s">
        <v>1036</v>
      </c>
      <c r="F247" s="180" t="s">
        <v>1036</v>
      </c>
    </row>
    <row r="248" spans="2:6" ht="13.2">
      <c r="B248" s="178">
        <v>332</v>
      </c>
      <c r="C248" s="179" t="s">
        <v>470</v>
      </c>
      <c r="D248" s="177" t="s">
        <v>472</v>
      </c>
      <c r="E248" s="185" t="s">
        <v>1037</v>
      </c>
      <c r="F248" s="185" t="s">
        <v>1037</v>
      </c>
    </row>
    <row r="249" spans="2:6" ht="13.2">
      <c r="B249" s="178">
        <v>333</v>
      </c>
      <c r="C249" s="179" t="s">
        <v>470</v>
      </c>
      <c r="D249" s="177" t="s">
        <v>473</v>
      </c>
      <c r="E249" s="185" t="s">
        <v>1038</v>
      </c>
      <c r="F249" s="185" t="s">
        <v>1038</v>
      </c>
    </row>
    <row r="250" spans="2:6" ht="13.2">
      <c r="B250" s="178">
        <v>334</v>
      </c>
      <c r="D250" s="180" t="s">
        <v>123</v>
      </c>
      <c r="E250" s="180" t="s">
        <v>1039</v>
      </c>
      <c r="F250" s="180" t="s">
        <v>1039</v>
      </c>
    </row>
    <row r="251" spans="2:6" ht="13.2">
      <c r="B251" s="178">
        <v>335</v>
      </c>
      <c r="C251" s="179" t="s">
        <v>470</v>
      </c>
      <c r="D251" s="180" t="s">
        <v>478</v>
      </c>
      <c r="E251" s="180" t="s">
        <v>1040</v>
      </c>
      <c r="F251" s="180" t="s">
        <v>1040</v>
      </c>
    </row>
    <row r="252" spans="2:6" ht="13.2">
      <c r="B252" s="178">
        <v>336</v>
      </c>
      <c r="C252" s="179" t="s">
        <v>470</v>
      </c>
      <c r="D252" s="177" t="s">
        <v>481</v>
      </c>
      <c r="E252" s="185" t="s">
        <v>1041</v>
      </c>
      <c r="F252" s="185" t="s">
        <v>1041</v>
      </c>
    </row>
    <row r="253" spans="2:6" ht="26.4">
      <c r="B253" s="178">
        <v>337</v>
      </c>
      <c r="D253" s="180" t="s">
        <v>124</v>
      </c>
      <c r="E253" s="180" t="s">
        <v>1042</v>
      </c>
      <c r="F253" s="180" t="s">
        <v>1042</v>
      </c>
    </row>
    <row r="254" spans="2:6" ht="26.4">
      <c r="B254" s="178">
        <v>338</v>
      </c>
      <c r="D254" s="180" t="s">
        <v>125</v>
      </c>
      <c r="E254" s="180" t="s">
        <v>1043</v>
      </c>
      <c r="F254" s="180" t="s">
        <v>1043</v>
      </c>
    </row>
    <row r="255" spans="2:6" ht="13.2">
      <c r="B255" s="178">
        <v>339</v>
      </c>
      <c r="D255" s="180" t="s">
        <v>126</v>
      </c>
      <c r="E255" s="180" t="s">
        <v>1044</v>
      </c>
      <c r="F255" s="180" t="s">
        <v>1044</v>
      </c>
    </row>
    <row r="256" spans="2:6" ht="13.2">
      <c r="B256" s="178">
        <v>340</v>
      </c>
      <c r="D256" s="180" t="s">
        <v>127</v>
      </c>
      <c r="E256" s="180" t="s">
        <v>1045</v>
      </c>
      <c r="F256" s="180" t="s">
        <v>1045</v>
      </c>
    </row>
    <row r="257" spans="2:6" ht="13.2">
      <c r="B257" s="178">
        <v>341</v>
      </c>
      <c r="D257" s="180" t="s">
        <v>128</v>
      </c>
      <c r="E257" s="180" t="s">
        <v>1046</v>
      </c>
      <c r="F257" s="180" t="s">
        <v>1046</v>
      </c>
    </row>
    <row r="258" spans="2:6" ht="13.2">
      <c r="B258" s="178">
        <v>342</v>
      </c>
      <c r="D258" s="180" t="s">
        <v>129</v>
      </c>
      <c r="E258" s="180" t="s">
        <v>1047</v>
      </c>
      <c r="F258" s="180" t="s">
        <v>1047</v>
      </c>
    </row>
    <row r="259" spans="2:6" ht="13.2">
      <c r="B259" s="178">
        <v>343</v>
      </c>
      <c r="C259" s="179" t="s">
        <v>547</v>
      </c>
      <c r="D259" s="180" t="s">
        <v>569</v>
      </c>
      <c r="E259" s="180" t="s">
        <v>1048</v>
      </c>
      <c r="F259" s="180" t="s">
        <v>1048</v>
      </c>
    </row>
    <row r="260" spans="2:6" ht="13.2">
      <c r="B260" s="178">
        <v>344</v>
      </c>
      <c r="C260" s="179" t="s">
        <v>547</v>
      </c>
      <c r="D260" s="180" t="s">
        <v>571</v>
      </c>
      <c r="E260" s="180" t="s">
        <v>1049</v>
      </c>
      <c r="F260" s="180" t="s">
        <v>1049</v>
      </c>
    </row>
    <row r="261" spans="2:6" ht="13.2">
      <c r="B261" s="178">
        <v>345</v>
      </c>
      <c r="D261" s="180" t="s">
        <v>130</v>
      </c>
      <c r="E261" s="180" t="s">
        <v>1050</v>
      </c>
      <c r="F261" s="180" t="s">
        <v>1050</v>
      </c>
    </row>
    <row r="262" spans="2:6" ht="26.4">
      <c r="B262" s="178">
        <v>346</v>
      </c>
      <c r="C262" s="179" t="s">
        <v>547</v>
      </c>
      <c r="D262" s="180" t="s">
        <v>579</v>
      </c>
      <c r="E262" s="180" t="s">
        <v>1051</v>
      </c>
      <c r="F262" s="180" t="s">
        <v>1051</v>
      </c>
    </row>
    <row r="263" spans="2:6" ht="13.2">
      <c r="B263" s="178">
        <v>347</v>
      </c>
      <c r="D263" s="180" t="s">
        <v>380</v>
      </c>
      <c r="E263" s="180" t="s">
        <v>1052</v>
      </c>
      <c r="F263" s="180" t="s">
        <v>1052</v>
      </c>
    </row>
    <row r="264" spans="2:6" ht="13.2">
      <c r="B264" s="178">
        <v>348</v>
      </c>
      <c r="D264" s="180" t="s">
        <v>131</v>
      </c>
      <c r="E264" s="180" t="s">
        <v>1053</v>
      </c>
      <c r="F264" s="180" t="s">
        <v>1053</v>
      </c>
    </row>
    <row r="265" spans="2:6" ht="13.2">
      <c r="B265" s="178">
        <v>349</v>
      </c>
      <c r="D265" s="180" t="s">
        <v>381</v>
      </c>
      <c r="E265" s="180" t="s">
        <v>1054</v>
      </c>
      <c r="F265" s="180" t="s">
        <v>1054</v>
      </c>
    </row>
    <row r="266" spans="2:6" ht="13.2">
      <c r="B266" s="178">
        <v>350</v>
      </c>
      <c r="C266" s="179" t="s">
        <v>547</v>
      </c>
      <c r="D266" s="180" t="s">
        <v>570</v>
      </c>
      <c r="E266" s="180" t="s">
        <v>1055</v>
      </c>
      <c r="F266" s="180" t="s">
        <v>1055</v>
      </c>
    </row>
    <row r="267" spans="2:6" ht="13.2">
      <c r="B267" s="178">
        <v>351</v>
      </c>
      <c r="C267" s="179" t="s">
        <v>470</v>
      </c>
      <c r="D267" s="177" t="s">
        <v>471</v>
      </c>
      <c r="E267" s="185" t="s">
        <v>1056</v>
      </c>
      <c r="F267" s="185" t="s">
        <v>1056</v>
      </c>
    </row>
    <row r="268" spans="2:6" ht="24">
      <c r="B268" s="178">
        <v>352</v>
      </c>
      <c r="C268" s="179" t="s">
        <v>547</v>
      </c>
      <c r="D268" s="180" t="s">
        <v>562</v>
      </c>
      <c r="E268" s="180" t="s">
        <v>1057</v>
      </c>
      <c r="F268" s="180" t="s">
        <v>1057</v>
      </c>
    </row>
    <row r="269" spans="2:6" ht="24">
      <c r="B269" s="178">
        <v>353</v>
      </c>
      <c r="D269" s="180" t="s">
        <v>132</v>
      </c>
      <c r="F269" s="180"/>
    </row>
    <row r="270" spans="2:6" ht="13.2">
      <c r="B270" s="178">
        <v>354</v>
      </c>
      <c r="D270" s="180" t="s">
        <v>133</v>
      </c>
      <c r="E270" s="180" t="s">
        <v>1058</v>
      </c>
      <c r="F270" s="180" t="s">
        <v>1058</v>
      </c>
    </row>
    <row r="271" spans="2:6" ht="13.2">
      <c r="B271" s="178">
        <v>355</v>
      </c>
      <c r="D271" s="180" t="s">
        <v>134</v>
      </c>
      <c r="E271" s="180" t="s">
        <v>1059</v>
      </c>
      <c r="F271" s="180" t="s">
        <v>1059</v>
      </c>
    </row>
    <row r="272" spans="2:6" ht="13.2">
      <c r="B272" s="178">
        <v>356</v>
      </c>
      <c r="D272" s="180" t="s">
        <v>135</v>
      </c>
      <c r="E272" s="180" t="s">
        <v>1060</v>
      </c>
      <c r="F272" s="180" t="s">
        <v>1060</v>
      </c>
    </row>
    <row r="273" spans="2:6" ht="13.2">
      <c r="B273" s="178">
        <v>357</v>
      </c>
      <c r="C273" s="179" t="s">
        <v>547</v>
      </c>
      <c r="D273" s="180" t="s">
        <v>565</v>
      </c>
      <c r="E273" s="180" t="s">
        <v>1061</v>
      </c>
      <c r="F273" s="180" t="s">
        <v>1061</v>
      </c>
    </row>
    <row r="274" spans="2:6" ht="13.2">
      <c r="B274" s="178">
        <v>358</v>
      </c>
      <c r="D274" s="180" t="s">
        <v>136</v>
      </c>
      <c r="E274" s="180" t="s">
        <v>1062</v>
      </c>
      <c r="F274" s="180" t="s">
        <v>1062</v>
      </c>
    </row>
    <row r="275" spans="2:6" ht="13.2">
      <c r="B275" s="178">
        <v>359</v>
      </c>
      <c r="D275" s="180" t="s">
        <v>382</v>
      </c>
      <c r="E275" s="180" t="s">
        <v>1063</v>
      </c>
      <c r="F275" s="180" t="s">
        <v>1063</v>
      </c>
    </row>
    <row r="276" spans="2:6" ht="13.2">
      <c r="B276" s="178">
        <v>360</v>
      </c>
      <c r="D276" s="180" t="s">
        <v>137</v>
      </c>
      <c r="E276" s="180" t="s">
        <v>1064</v>
      </c>
      <c r="F276" s="180" t="s">
        <v>1064</v>
      </c>
    </row>
    <row r="277" spans="2:6" ht="26.4">
      <c r="B277" s="178">
        <v>361</v>
      </c>
      <c r="C277" s="179" t="s">
        <v>547</v>
      </c>
      <c r="D277" s="180" t="s">
        <v>561</v>
      </c>
      <c r="E277" s="180" t="s">
        <v>1065</v>
      </c>
      <c r="F277" s="180" t="s">
        <v>1065</v>
      </c>
    </row>
    <row r="278" spans="2:6" ht="39.6">
      <c r="B278" s="178">
        <v>362</v>
      </c>
      <c r="C278" s="179" t="s">
        <v>547</v>
      </c>
      <c r="D278" s="180" t="s">
        <v>576</v>
      </c>
      <c r="E278" s="180" t="s">
        <v>1066</v>
      </c>
      <c r="F278" s="180" t="s">
        <v>1066</v>
      </c>
    </row>
    <row r="279" spans="2:6" ht="13.2">
      <c r="B279" s="178">
        <v>363</v>
      </c>
      <c r="D279" s="180" t="s">
        <v>138</v>
      </c>
      <c r="E279" s="180" t="s">
        <v>1067</v>
      </c>
      <c r="F279" s="180" t="s">
        <v>1067</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1068</v>
      </c>
      <c r="F282" s="180" t="s">
        <v>1068</v>
      </c>
    </row>
    <row r="283" spans="2:6">
      <c r="B283" s="178">
        <v>367</v>
      </c>
      <c r="D283" s="180" t="s">
        <v>139</v>
      </c>
      <c r="E283" s="180" t="s">
        <v>140</v>
      </c>
      <c r="F283" s="180" t="s">
        <v>140</v>
      </c>
    </row>
    <row r="284" spans="2:6" ht="13.2">
      <c r="B284" s="178">
        <v>368</v>
      </c>
      <c r="D284" s="180" t="s">
        <v>613</v>
      </c>
      <c r="E284" s="180" t="s">
        <v>1069</v>
      </c>
      <c r="F284" s="180" t="s">
        <v>1069</v>
      </c>
    </row>
    <row r="285" spans="2:6">
      <c r="B285" s="178">
        <v>369</v>
      </c>
      <c r="D285" s="180" t="s">
        <v>141</v>
      </c>
      <c r="E285" s="180" t="s">
        <v>439</v>
      </c>
      <c r="F285" s="180" t="s">
        <v>439</v>
      </c>
    </row>
    <row r="286" spans="2:6" ht="13.2">
      <c r="B286" s="178">
        <v>370</v>
      </c>
      <c r="D286" s="180" t="s">
        <v>142</v>
      </c>
      <c r="E286" s="180" t="s">
        <v>1070</v>
      </c>
      <c r="F286" s="180" t="s">
        <v>1070</v>
      </c>
    </row>
    <row r="287" spans="2:6" ht="13.2">
      <c r="B287" s="178">
        <v>371</v>
      </c>
      <c r="D287" s="180" t="s">
        <v>143</v>
      </c>
      <c r="E287" s="180" t="s">
        <v>1071</v>
      </c>
      <c r="F287" s="180" t="s">
        <v>1071</v>
      </c>
    </row>
    <row r="288" spans="2:6" ht="13.2">
      <c r="B288" s="178">
        <v>372</v>
      </c>
      <c r="D288" s="180" t="s">
        <v>383</v>
      </c>
      <c r="E288" s="180" t="s">
        <v>1072</v>
      </c>
      <c r="F288" s="180" t="s">
        <v>1072</v>
      </c>
    </row>
    <row r="289" spans="2:6" ht="13.2">
      <c r="B289" s="178">
        <v>373</v>
      </c>
      <c r="D289" s="180" t="s">
        <v>384</v>
      </c>
      <c r="E289" s="180" t="s">
        <v>1073</v>
      </c>
      <c r="F289" s="180" t="s">
        <v>1073</v>
      </c>
    </row>
    <row r="290" spans="2:6" ht="13.2">
      <c r="B290" s="178">
        <v>374</v>
      </c>
      <c r="D290" s="180" t="s">
        <v>385</v>
      </c>
      <c r="E290" s="180" t="s">
        <v>1072</v>
      </c>
      <c r="F290" s="180" t="s">
        <v>1072</v>
      </c>
    </row>
    <row r="291" spans="2:6" ht="13.2">
      <c r="B291" s="178">
        <v>375</v>
      </c>
      <c r="C291" s="179" t="s">
        <v>547</v>
      </c>
      <c r="D291" s="180" t="s">
        <v>553</v>
      </c>
      <c r="E291" s="180" t="s">
        <v>1074</v>
      </c>
      <c r="F291" s="180" t="s">
        <v>1074</v>
      </c>
    </row>
    <row r="292" spans="2:6" ht="13.2">
      <c r="B292" s="178">
        <v>376</v>
      </c>
      <c r="D292" s="180" t="s">
        <v>144</v>
      </c>
      <c r="E292" s="180" t="s">
        <v>1075</v>
      </c>
      <c r="F292" s="180" t="s">
        <v>1075</v>
      </c>
    </row>
    <row r="293" spans="2:6" ht="13.2">
      <c r="B293" s="178">
        <v>377</v>
      </c>
      <c r="D293" s="180" t="s">
        <v>386</v>
      </c>
      <c r="E293" s="180" t="s">
        <v>1076</v>
      </c>
      <c r="F293" s="180" t="s">
        <v>1076</v>
      </c>
    </row>
    <row r="294" spans="2:6" ht="13.2">
      <c r="B294" s="178">
        <v>378</v>
      </c>
      <c r="D294" s="180" t="s">
        <v>145</v>
      </c>
      <c r="E294" s="180" t="s">
        <v>1077</v>
      </c>
      <c r="F294" s="180" t="s">
        <v>1077</v>
      </c>
    </row>
    <row r="295" spans="2:6" ht="13.2">
      <c r="B295" s="178">
        <v>379</v>
      </c>
      <c r="C295" s="179" t="s">
        <v>470</v>
      </c>
      <c r="D295" s="177" t="s">
        <v>482</v>
      </c>
      <c r="E295" s="185" t="s">
        <v>1078</v>
      </c>
      <c r="F295" s="185" t="s">
        <v>1078</v>
      </c>
    </row>
    <row r="296" spans="2:6" ht="13.2">
      <c r="B296" s="178">
        <v>380</v>
      </c>
      <c r="D296" s="180" t="s">
        <v>415</v>
      </c>
      <c r="E296" s="180" t="s">
        <v>1079</v>
      </c>
      <c r="F296" s="180" t="s">
        <v>1079</v>
      </c>
    </row>
    <row r="297" spans="2:6" ht="13.2">
      <c r="B297" s="178">
        <v>381</v>
      </c>
      <c r="D297" s="180" t="s">
        <v>416</v>
      </c>
      <c r="E297" s="180" t="s">
        <v>1080</v>
      </c>
      <c r="F297" s="180" t="s">
        <v>1080</v>
      </c>
    </row>
    <row r="298" spans="2:6" ht="13.2">
      <c r="B298" s="178">
        <v>382</v>
      </c>
      <c r="C298" s="179" t="s">
        <v>488</v>
      </c>
      <c r="D298" s="180" t="s">
        <v>489</v>
      </c>
      <c r="E298" s="180" t="s">
        <v>1081</v>
      </c>
      <c r="F298" s="180" t="s">
        <v>1081</v>
      </c>
    </row>
    <row r="299" spans="2:6" ht="13.2">
      <c r="B299" s="178">
        <v>383</v>
      </c>
      <c r="D299" s="180" t="s">
        <v>146</v>
      </c>
      <c r="E299" s="180" t="s">
        <v>1082</v>
      </c>
      <c r="F299" s="180" t="s">
        <v>1082</v>
      </c>
    </row>
    <row r="300" spans="2:6" ht="13.2">
      <c r="B300" s="178">
        <v>384</v>
      </c>
      <c r="D300" s="180" t="s">
        <v>387</v>
      </c>
      <c r="E300" s="180" t="s">
        <v>1083</v>
      </c>
      <c r="F300" s="180" t="s">
        <v>1083</v>
      </c>
    </row>
    <row r="301" spans="2:6" ht="13.2">
      <c r="B301" s="178">
        <v>385</v>
      </c>
      <c r="D301" s="180" t="s">
        <v>147</v>
      </c>
      <c r="E301" s="180" t="s">
        <v>1084</v>
      </c>
      <c r="F301" s="180" t="s">
        <v>1084</v>
      </c>
    </row>
    <row r="302" spans="2:6" ht="13.2">
      <c r="B302" s="178">
        <v>386</v>
      </c>
      <c r="D302" s="180" t="s">
        <v>148</v>
      </c>
      <c r="E302" s="180" t="s">
        <v>1085</v>
      </c>
      <c r="F302" s="180" t="s">
        <v>1085</v>
      </c>
    </row>
    <row r="303" spans="2:6" ht="13.2">
      <c r="B303" s="178">
        <v>387</v>
      </c>
      <c r="D303" s="180" t="s">
        <v>149</v>
      </c>
      <c r="E303" s="180" t="s">
        <v>1086</v>
      </c>
      <c r="F303" s="180" t="s">
        <v>1086</v>
      </c>
    </row>
    <row r="304" spans="2:6" ht="13.2">
      <c r="B304" s="178">
        <v>388</v>
      </c>
      <c r="D304" s="180" t="s">
        <v>477</v>
      </c>
      <c r="E304" s="180" t="s">
        <v>1087</v>
      </c>
      <c r="F304" s="180" t="s">
        <v>1087</v>
      </c>
    </row>
    <row r="305" spans="2:6" ht="24">
      <c r="B305" s="178">
        <v>389</v>
      </c>
      <c r="D305" s="180" t="s">
        <v>150</v>
      </c>
      <c r="E305" s="180" t="s">
        <v>1088</v>
      </c>
      <c r="F305" s="180" t="s">
        <v>1088</v>
      </c>
    </row>
    <row r="306" spans="2:6" ht="13.2">
      <c r="B306" s="178">
        <v>390</v>
      </c>
      <c r="D306" s="180" t="s">
        <v>624</v>
      </c>
      <c r="E306" s="180" t="s">
        <v>1089</v>
      </c>
      <c r="F306" s="180" t="s">
        <v>1089</v>
      </c>
    </row>
    <row r="307" spans="2:6" ht="26.4">
      <c r="B307" s="178">
        <v>391</v>
      </c>
      <c r="D307" s="180" t="s">
        <v>417</v>
      </c>
      <c r="E307" s="180" t="s">
        <v>1090</v>
      </c>
      <c r="F307" s="180" t="s">
        <v>1090</v>
      </c>
    </row>
    <row r="308" spans="2:6" ht="13.2">
      <c r="B308" s="178">
        <v>392</v>
      </c>
      <c r="D308" s="180" t="s">
        <v>418</v>
      </c>
      <c r="E308" s="180" t="s">
        <v>1091</v>
      </c>
      <c r="F308" s="180" t="s">
        <v>1091</v>
      </c>
    </row>
    <row r="309" spans="2:6" ht="13.2">
      <c r="B309" s="178">
        <v>393</v>
      </c>
      <c r="D309" s="180" t="s">
        <v>388</v>
      </c>
      <c r="E309" s="180" t="s">
        <v>1092</v>
      </c>
      <c r="F309" s="180" t="s">
        <v>1092</v>
      </c>
    </row>
    <row r="310" spans="2:6" ht="13.2">
      <c r="B310" s="178">
        <v>394</v>
      </c>
      <c r="D310" s="180" t="s">
        <v>151</v>
      </c>
      <c r="E310" s="180" t="s">
        <v>1093</v>
      </c>
      <c r="F310" s="180" t="s">
        <v>1093</v>
      </c>
    </row>
    <row r="311" spans="2:6" ht="13.2">
      <c r="B311" s="178">
        <v>395</v>
      </c>
      <c r="D311" s="180" t="s">
        <v>389</v>
      </c>
      <c r="E311" s="180" t="s">
        <v>1094</v>
      </c>
      <c r="F311" s="180" t="s">
        <v>1094</v>
      </c>
    </row>
    <row r="312" spans="2:6" ht="13.2">
      <c r="B312" s="178">
        <v>396</v>
      </c>
      <c r="D312" s="180" t="s">
        <v>390</v>
      </c>
      <c r="E312" s="180" t="s">
        <v>1095</v>
      </c>
      <c r="F312" s="180" t="s">
        <v>1095</v>
      </c>
    </row>
    <row r="313" spans="2:6" ht="13.2">
      <c r="B313" s="178">
        <v>397</v>
      </c>
      <c r="D313" s="180" t="s">
        <v>152</v>
      </c>
      <c r="E313" s="180" t="s">
        <v>1096</v>
      </c>
      <c r="F313" s="180" t="s">
        <v>1096</v>
      </c>
    </row>
    <row r="314" spans="2:6" ht="13.2">
      <c r="B314" s="178">
        <v>398</v>
      </c>
      <c r="D314" s="180" t="s">
        <v>153</v>
      </c>
      <c r="E314" s="180" t="s">
        <v>1097</v>
      </c>
      <c r="F314" s="180" t="s">
        <v>1097</v>
      </c>
    </row>
    <row r="315" spans="2:6" ht="13.2">
      <c r="B315" s="178">
        <v>399</v>
      </c>
      <c r="D315" s="180" t="s">
        <v>391</v>
      </c>
      <c r="E315" s="180" t="s">
        <v>1098</v>
      </c>
      <c r="F315" s="180" t="s">
        <v>1098</v>
      </c>
    </row>
    <row r="316" spans="2:6" ht="13.2">
      <c r="B316" s="178">
        <v>400</v>
      </c>
      <c r="D316" s="180" t="s">
        <v>154</v>
      </c>
      <c r="E316" s="180" t="s">
        <v>1099</v>
      </c>
      <c r="F316" s="180" t="s">
        <v>1099</v>
      </c>
    </row>
    <row r="317" spans="2:6" ht="13.2">
      <c r="B317" s="178">
        <v>401</v>
      </c>
      <c r="C317" s="179" t="s">
        <v>432</v>
      </c>
      <c r="D317" s="180" t="s">
        <v>440</v>
      </c>
      <c r="E317" s="180" t="s">
        <v>1100</v>
      </c>
      <c r="F317" s="180" t="s">
        <v>1100</v>
      </c>
    </row>
    <row r="318" spans="2:6" ht="13.2">
      <c r="B318" s="178">
        <v>402</v>
      </c>
      <c r="C318" s="179" t="s">
        <v>470</v>
      </c>
      <c r="D318" s="177" t="s">
        <v>469</v>
      </c>
      <c r="E318" s="185" t="s">
        <v>1101</v>
      </c>
      <c r="F318" s="185" t="s">
        <v>1101</v>
      </c>
    </row>
    <row r="319" spans="2:6" ht="13.2">
      <c r="B319" s="178">
        <v>403</v>
      </c>
      <c r="D319" s="180" t="s">
        <v>155</v>
      </c>
      <c r="E319" s="180" t="s">
        <v>1102</v>
      </c>
      <c r="F319" s="180" t="s">
        <v>1102</v>
      </c>
    </row>
    <row r="320" spans="2:6" ht="13.2">
      <c r="B320" s="178">
        <v>404</v>
      </c>
      <c r="D320" s="180" t="s">
        <v>156</v>
      </c>
      <c r="E320" s="180" t="s">
        <v>1103</v>
      </c>
      <c r="F320" s="180" t="s">
        <v>1103</v>
      </c>
    </row>
    <row r="321" spans="1:6" ht="13.2">
      <c r="B321" s="178">
        <v>405</v>
      </c>
      <c r="D321" s="180" t="s">
        <v>157</v>
      </c>
      <c r="E321" s="180" t="s">
        <v>1104</v>
      </c>
      <c r="F321" s="180" t="s">
        <v>1104</v>
      </c>
    </row>
    <row r="322" spans="1:6" ht="13.2">
      <c r="B322" s="178">
        <v>406</v>
      </c>
      <c r="D322" s="180" t="s">
        <v>158</v>
      </c>
      <c r="E322" s="180" t="s">
        <v>1105</v>
      </c>
      <c r="F322" s="180" t="s">
        <v>1105</v>
      </c>
    </row>
    <row r="323" spans="1:6" ht="13.2">
      <c r="B323" s="178">
        <v>407</v>
      </c>
      <c r="C323" s="179" t="s">
        <v>470</v>
      </c>
      <c r="D323" s="177" t="s">
        <v>466</v>
      </c>
      <c r="E323" s="185" t="s">
        <v>1106</v>
      </c>
      <c r="F323" s="185" t="s">
        <v>1106</v>
      </c>
    </row>
    <row r="324" spans="1:6" ht="13.2">
      <c r="B324" s="178">
        <v>408</v>
      </c>
      <c r="D324" s="180" t="s">
        <v>159</v>
      </c>
      <c r="E324" s="180" t="s">
        <v>1107</v>
      </c>
      <c r="F324" s="180" t="s">
        <v>1107</v>
      </c>
    </row>
    <row r="325" spans="1:6" ht="13.2">
      <c r="B325" s="178">
        <v>409</v>
      </c>
      <c r="C325" s="179" t="s">
        <v>470</v>
      </c>
      <c r="D325" s="180" t="s">
        <v>464</v>
      </c>
      <c r="E325" s="185" t="s">
        <v>1108</v>
      </c>
      <c r="F325" s="185" t="s">
        <v>1108</v>
      </c>
    </row>
    <row r="326" spans="1:6" ht="13.2">
      <c r="B326" s="178">
        <v>410</v>
      </c>
      <c r="D326" s="180" t="s">
        <v>160</v>
      </c>
      <c r="E326" s="180" t="s">
        <v>1109</v>
      </c>
      <c r="F326" s="180" t="s">
        <v>1109</v>
      </c>
    </row>
    <row r="327" spans="1:6" ht="39.6">
      <c r="B327" s="178">
        <v>411</v>
      </c>
      <c r="D327" s="180" t="s">
        <v>161</v>
      </c>
      <c r="E327" s="180" t="s">
        <v>1110</v>
      </c>
      <c r="F327" s="180" t="s">
        <v>1110</v>
      </c>
    </row>
    <row r="328" spans="1:6" ht="13.2">
      <c r="B328" s="178">
        <v>412</v>
      </c>
      <c r="D328" s="180" t="s">
        <v>162</v>
      </c>
      <c r="E328" s="180" t="s">
        <v>1111</v>
      </c>
      <c r="F328" s="180" t="s">
        <v>1111</v>
      </c>
    </row>
    <row r="329" spans="1:6" ht="13.2">
      <c r="B329" s="178">
        <v>413</v>
      </c>
      <c r="D329" s="180" t="s">
        <v>510</v>
      </c>
      <c r="E329" s="180" t="s">
        <v>1112</v>
      </c>
      <c r="F329" s="180" t="s">
        <v>1112</v>
      </c>
    </row>
    <row r="330" spans="1:6" ht="26.4">
      <c r="B330" s="178">
        <v>414</v>
      </c>
      <c r="D330" s="180" t="s">
        <v>163</v>
      </c>
      <c r="E330" s="180" t="s">
        <v>1113</v>
      </c>
      <c r="F330" s="180" t="s">
        <v>1113</v>
      </c>
    </row>
    <row r="331" spans="1:6" ht="13.2">
      <c r="B331" s="178">
        <v>415</v>
      </c>
      <c r="D331" s="180" t="s">
        <v>513</v>
      </c>
      <c r="E331" s="180" t="s">
        <v>1114</v>
      </c>
      <c r="F331" s="180" t="s">
        <v>1114</v>
      </c>
    </row>
    <row r="332" spans="1:6" ht="13.2">
      <c r="B332" s="178">
        <v>416</v>
      </c>
      <c r="D332" s="180" t="s">
        <v>509</v>
      </c>
      <c r="E332" s="180" t="s">
        <v>1115</v>
      </c>
      <c r="F332" s="180" t="s">
        <v>1115</v>
      </c>
    </row>
    <row r="333" spans="1:6" ht="13.2">
      <c r="A333" s="182"/>
      <c r="B333" s="178">
        <v>417</v>
      </c>
      <c r="C333" s="183" t="s">
        <v>414</v>
      </c>
      <c r="D333" s="181" t="s">
        <v>441</v>
      </c>
      <c r="E333" s="181" t="s">
        <v>1116</v>
      </c>
      <c r="F333" s="181" t="s">
        <v>1116</v>
      </c>
    </row>
    <row r="334" spans="1:6" ht="13.2">
      <c r="A334" s="182"/>
      <c r="B334" s="178">
        <v>418</v>
      </c>
      <c r="C334" s="183" t="s">
        <v>414</v>
      </c>
      <c r="D334" s="181" t="s">
        <v>442</v>
      </c>
      <c r="E334" s="181" t="s">
        <v>1117</v>
      </c>
      <c r="F334" s="181" t="s">
        <v>1117</v>
      </c>
    </row>
    <row r="335" spans="1:6" ht="13.2">
      <c r="A335" s="182"/>
      <c r="B335" s="178">
        <v>419</v>
      </c>
      <c r="C335" s="183" t="s">
        <v>414</v>
      </c>
      <c r="D335" s="181" t="s">
        <v>443</v>
      </c>
      <c r="E335" s="181" t="s">
        <v>1118</v>
      </c>
      <c r="F335" s="181" t="s">
        <v>1118</v>
      </c>
    </row>
    <row r="336" spans="1:6" ht="13.2">
      <c r="B336" s="178">
        <v>420</v>
      </c>
      <c r="D336" s="180" t="s">
        <v>164</v>
      </c>
      <c r="E336" s="180" t="s">
        <v>1116</v>
      </c>
      <c r="F336" s="180" t="s">
        <v>1116</v>
      </c>
    </row>
    <row r="337" spans="2:6" ht="13.2">
      <c r="B337" s="178">
        <v>421</v>
      </c>
      <c r="D337" s="180" t="s">
        <v>165</v>
      </c>
      <c r="E337" s="181" t="s">
        <v>1119</v>
      </c>
      <c r="F337" s="181" t="s">
        <v>1119</v>
      </c>
    </row>
    <row r="338" spans="2:6" ht="13.2">
      <c r="B338" s="178">
        <v>422</v>
      </c>
      <c r="D338" s="180" t="s">
        <v>166</v>
      </c>
      <c r="E338" s="180" t="s">
        <v>1120</v>
      </c>
      <c r="F338" s="180" t="s">
        <v>1120</v>
      </c>
    </row>
    <row r="339" spans="2:6" ht="13.2">
      <c r="B339" s="178">
        <v>423</v>
      </c>
      <c r="D339" s="180" t="s">
        <v>167</v>
      </c>
      <c r="E339" s="180" t="s">
        <v>1121</v>
      </c>
      <c r="F339" s="180" t="s">
        <v>1121</v>
      </c>
    </row>
    <row r="340" spans="2:6" ht="13.2">
      <c r="B340" s="178">
        <v>424</v>
      </c>
      <c r="D340" s="180" t="s">
        <v>168</v>
      </c>
      <c r="E340" s="180" t="s">
        <v>1122</v>
      </c>
      <c r="F340" s="180" t="s">
        <v>1122</v>
      </c>
    </row>
    <row r="341" spans="2:6" ht="13.2">
      <c r="B341" s="178">
        <v>425</v>
      </c>
      <c r="D341" s="180" t="s">
        <v>169</v>
      </c>
      <c r="E341" s="180" t="s">
        <v>1123</v>
      </c>
      <c r="F341" s="180" t="s">
        <v>1123</v>
      </c>
    </row>
    <row r="342" spans="2:6" ht="13.2">
      <c r="B342" s="178">
        <v>426</v>
      </c>
      <c r="D342" s="180" t="s">
        <v>170</v>
      </c>
      <c r="E342" s="180" t="s">
        <v>1124</v>
      </c>
      <c r="F342" s="180" t="s">
        <v>1124</v>
      </c>
    </row>
    <row r="343" spans="2:6" ht="13.2">
      <c r="B343" s="178">
        <v>427</v>
      </c>
      <c r="D343" s="180" t="s">
        <v>171</v>
      </c>
      <c r="E343" s="180" t="s">
        <v>1125</v>
      </c>
      <c r="F343" s="180" t="s">
        <v>1125</v>
      </c>
    </row>
    <row r="344" spans="2:6" ht="13.2">
      <c r="B344" s="178">
        <v>428</v>
      </c>
      <c r="D344" s="180" t="s">
        <v>172</v>
      </c>
      <c r="E344" s="180" t="s">
        <v>1126</v>
      </c>
      <c r="F344" s="180" t="s">
        <v>1126</v>
      </c>
    </row>
    <row r="345" spans="2:6" ht="13.2">
      <c r="B345" s="178">
        <v>429</v>
      </c>
      <c r="D345" s="180" t="s">
        <v>173</v>
      </c>
      <c r="E345" s="180" t="s">
        <v>1127</v>
      </c>
      <c r="F345" s="180" t="s">
        <v>1127</v>
      </c>
    </row>
    <row r="346" spans="2:6" ht="13.2">
      <c r="B346" s="178">
        <v>430</v>
      </c>
      <c r="D346" s="180" t="s">
        <v>174</v>
      </c>
      <c r="E346" s="180" t="s">
        <v>1128</v>
      </c>
      <c r="F346" s="180" t="s">
        <v>1128</v>
      </c>
    </row>
    <row r="347" spans="2:6" ht="13.2">
      <c r="B347" s="178">
        <v>431</v>
      </c>
      <c r="D347" s="180" t="s">
        <v>175</v>
      </c>
      <c r="E347" s="180" t="s">
        <v>1129</v>
      </c>
      <c r="F347" s="180" t="s">
        <v>1129</v>
      </c>
    </row>
    <row r="348" spans="2:6" ht="13.2">
      <c r="B348" s="178">
        <v>432</v>
      </c>
      <c r="D348" s="180" t="s">
        <v>176</v>
      </c>
      <c r="E348" s="180" t="s">
        <v>1130</v>
      </c>
      <c r="F348" s="180" t="s">
        <v>1130</v>
      </c>
    </row>
    <row r="349" spans="2:6" ht="13.2">
      <c r="B349" s="178">
        <v>433</v>
      </c>
      <c r="D349" s="180" t="s">
        <v>177</v>
      </c>
      <c r="E349" s="180" t="s">
        <v>1131</v>
      </c>
      <c r="F349" s="180" t="s">
        <v>1131</v>
      </c>
    </row>
    <row r="350" spans="2:6" ht="13.2">
      <c r="B350" s="178">
        <v>434</v>
      </c>
      <c r="D350" s="180" t="s">
        <v>516</v>
      </c>
      <c r="E350" s="180" t="s">
        <v>1132</v>
      </c>
      <c r="F350" s="180" t="s">
        <v>1132</v>
      </c>
    </row>
    <row r="351" spans="2:6" ht="13.2">
      <c r="B351" s="178">
        <v>435</v>
      </c>
      <c r="D351" s="180" t="s">
        <v>515</v>
      </c>
      <c r="E351" s="180" t="s">
        <v>1133</v>
      </c>
      <c r="F351" s="180" t="s">
        <v>1133</v>
      </c>
    </row>
    <row r="352" spans="2:6" ht="13.2">
      <c r="B352" s="178">
        <v>436</v>
      </c>
      <c r="D352" s="180" t="s">
        <v>178</v>
      </c>
      <c r="E352" s="180" t="s">
        <v>1134</v>
      </c>
      <c r="F352" s="180" t="s">
        <v>1134</v>
      </c>
    </row>
    <row r="353" spans="2:6" ht="13.2">
      <c r="B353" s="178">
        <v>437</v>
      </c>
      <c r="D353" s="180" t="s">
        <v>179</v>
      </c>
      <c r="E353" s="180" t="s">
        <v>1135</v>
      </c>
      <c r="F353" s="180" t="s">
        <v>1135</v>
      </c>
    </row>
    <row r="354" spans="2:6" ht="13.2">
      <c r="B354" s="178">
        <v>438</v>
      </c>
      <c r="D354" s="180" t="s">
        <v>180</v>
      </c>
      <c r="E354" s="180" t="s">
        <v>1136</v>
      </c>
      <c r="F354" s="180" t="s">
        <v>1136</v>
      </c>
    </row>
    <row r="355" spans="2:6" ht="13.2">
      <c r="B355" s="178">
        <v>439</v>
      </c>
      <c r="D355" s="180" t="s">
        <v>181</v>
      </c>
      <c r="E355" s="180" t="s">
        <v>1137</v>
      </c>
      <c r="F355" s="180" t="s">
        <v>1137</v>
      </c>
    </row>
    <row r="356" spans="2:6" ht="13.2">
      <c r="B356" s="178">
        <v>440</v>
      </c>
      <c r="D356" s="180" t="s">
        <v>182</v>
      </c>
      <c r="E356" s="180" t="s">
        <v>1138</v>
      </c>
      <c r="F356" s="180" t="s">
        <v>1138</v>
      </c>
    </row>
    <row r="357" spans="2:6" ht="13.2">
      <c r="B357" s="178">
        <v>441</v>
      </c>
      <c r="D357" s="180" t="s">
        <v>183</v>
      </c>
      <c r="E357" s="180" t="s">
        <v>1139</v>
      </c>
      <c r="F357" s="180" t="s">
        <v>1139</v>
      </c>
    </row>
    <row r="358" spans="2:6" ht="13.2">
      <c r="B358" s="178">
        <v>442</v>
      </c>
      <c r="D358" s="180" t="s">
        <v>517</v>
      </c>
      <c r="E358" s="180" t="s">
        <v>1140</v>
      </c>
      <c r="F358" s="180" t="s">
        <v>1140</v>
      </c>
    </row>
    <row r="359" spans="2:6" ht="13.2">
      <c r="B359" s="178">
        <v>443</v>
      </c>
      <c r="D359" s="180" t="s">
        <v>503</v>
      </c>
      <c r="E359" s="180" t="s">
        <v>1141</v>
      </c>
      <c r="F359" s="180" t="s">
        <v>1141</v>
      </c>
    </row>
    <row r="360" spans="2:6">
      <c r="B360" s="178">
        <v>444</v>
      </c>
      <c r="D360" s="180" t="s">
        <v>392</v>
      </c>
      <c r="E360" s="180" t="s">
        <v>392</v>
      </c>
      <c r="F360" s="180" t="s">
        <v>392</v>
      </c>
    </row>
    <row r="361" spans="2:6" ht="26.4">
      <c r="B361" s="178">
        <v>445</v>
      </c>
      <c r="C361" s="179" t="s">
        <v>547</v>
      </c>
      <c r="D361" s="180" t="s">
        <v>575</v>
      </c>
      <c r="E361" s="180" t="s">
        <v>1142</v>
      </c>
      <c r="F361" s="180" t="s">
        <v>1142</v>
      </c>
    </row>
    <row r="362" spans="2:6" ht="13.2">
      <c r="B362" s="178">
        <v>446</v>
      </c>
      <c r="D362" s="180" t="s">
        <v>603</v>
      </c>
      <c r="E362" s="180" t="s">
        <v>1143</v>
      </c>
      <c r="F362" s="180" t="s">
        <v>1143</v>
      </c>
    </row>
    <row r="363" spans="2:6" ht="13.2">
      <c r="B363" s="178">
        <v>447</v>
      </c>
      <c r="C363" s="179" t="s">
        <v>470</v>
      </c>
      <c r="D363" s="180" t="s">
        <v>475</v>
      </c>
      <c r="E363" s="180" t="s">
        <v>1144</v>
      </c>
      <c r="F363" s="180" t="s">
        <v>1144</v>
      </c>
    </row>
    <row r="364" spans="2:6" ht="13.2">
      <c r="B364" s="178">
        <v>448</v>
      </c>
      <c r="D364" s="180" t="s">
        <v>184</v>
      </c>
      <c r="E364" s="180" t="s">
        <v>1145</v>
      </c>
      <c r="F364" s="180" t="s">
        <v>1145</v>
      </c>
    </row>
    <row r="365" spans="2:6" ht="26.4">
      <c r="B365" s="178">
        <v>449</v>
      </c>
      <c r="D365" s="180" t="s">
        <v>185</v>
      </c>
      <c r="E365" s="180" t="s">
        <v>1146</v>
      </c>
      <c r="F365" s="180" t="s">
        <v>1146</v>
      </c>
    </row>
    <row r="366" spans="2:6" ht="13.2">
      <c r="B366" s="178">
        <v>450</v>
      </c>
      <c r="D366" s="180" t="s">
        <v>186</v>
      </c>
      <c r="E366" s="180" t="s">
        <v>1147</v>
      </c>
      <c r="F366" s="180" t="s">
        <v>1147</v>
      </c>
    </row>
    <row r="367" spans="2:6" ht="13.2">
      <c r="B367" s="178">
        <v>451</v>
      </c>
      <c r="D367" s="180" t="s">
        <v>609</v>
      </c>
      <c r="E367" s="180" t="s">
        <v>1148</v>
      </c>
      <c r="F367" s="180" t="s">
        <v>1148</v>
      </c>
    </row>
    <row r="368" spans="2:6" ht="26.4">
      <c r="B368" s="178">
        <v>452</v>
      </c>
      <c r="D368" s="180" t="s">
        <v>187</v>
      </c>
      <c r="E368" s="180" t="s">
        <v>1149</v>
      </c>
      <c r="F368" s="180" t="s">
        <v>1149</v>
      </c>
    </row>
    <row r="369" spans="2:6" ht="13.2">
      <c r="B369" s="178">
        <v>453</v>
      </c>
      <c r="D369" s="181" t="s">
        <v>444</v>
      </c>
      <c r="E369" s="180" t="s">
        <v>928</v>
      </c>
      <c r="F369" s="180" t="s">
        <v>928</v>
      </c>
    </row>
    <row r="370" spans="2:6" ht="13.2">
      <c r="B370" s="178">
        <v>454</v>
      </c>
      <c r="D370" s="180" t="s">
        <v>393</v>
      </c>
      <c r="E370" s="180" t="s">
        <v>1150</v>
      </c>
      <c r="F370" s="180" t="s">
        <v>1150</v>
      </c>
    </row>
    <row r="371" spans="2:6" ht="13.2">
      <c r="B371" s="178">
        <v>455</v>
      </c>
      <c r="D371" s="180" t="s">
        <v>188</v>
      </c>
      <c r="E371" s="180" t="s">
        <v>1151</v>
      </c>
      <c r="F371" s="180" t="s">
        <v>1151</v>
      </c>
    </row>
    <row r="372" spans="2:6" ht="13.2">
      <c r="B372" s="178">
        <v>456</v>
      </c>
      <c r="D372" s="180" t="s">
        <v>394</v>
      </c>
      <c r="E372" s="180" t="s">
        <v>1152</v>
      </c>
      <c r="F372" s="180" t="s">
        <v>1152</v>
      </c>
    </row>
    <row r="373" spans="2:6" ht="13.2">
      <c r="B373" s="178">
        <v>457</v>
      </c>
      <c r="D373" s="180" t="s">
        <v>189</v>
      </c>
      <c r="E373" s="180" t="s">
        <v>1153</v>
      </c>
      <c r="F373" s="180" t="s">
        <v>1153</v>
      </c>
    </row>
    <row r="374" spans="2:6" ht="13.2">
      <c r="B374" s="178">
        <v>458</v>
      </c>
      <c r="D374" s="180" t="s">
        <v>190</v>
      </c>
      <c r="E374" s="180" t="s">
        <v>1154</v>
      </c>
      <c r="F374" s="180" t="s">
        <v>1154</v>
      </c>
    </row>
    <row r="375" spans="2:6" ht="13.2">
      <c r="B375" s="178">
        <v>459</v>
      </c>
      <c r="C375" s="179" t="s">
        <v>547</v>
      </c>
      <c r="D375" s="180" t="s">
        <v>567</v>
      </c>
      <c r="E375" s="180" t="s">
        <v>1155</v>
      </c>
      <c r="F375" s="180" t="s">
        <v>1155</v>
      </c>
    </row>
    <row r="376" spans="2:6" ht="13.2">
      <c r="B376" s="178">
        <v>460</v>
      </c>
      <c r="D376" s="180" t="s">
        <v>191</v>
      </c>
      <c r="E376" s="180" t="s">
        <v>1155</v>
      </c>
      <c r="F376" s="180" t="s">
        <v>1155</v>
      </c>
    </row>
    <row r="377" spans="2:6" ht="13.2">
      <c r="B377" s="178">
        <v>461</v>
      </c>
      <c r="D377" s="180" t="s">
        <v>192</v>
      </c>
      <c r="E377" s="180" t="s">
        <v>1156</v>
      </c>
      <c r="F377" s="180" t="s">
        <v>1156</v>
      </c>
    </row>
    <row r="378" spans="2:6" ht="13.2">
      <c r="B378" s="178">
        <v>462</v>
      </c>
      <c r="D378" s="180" t="s">
        <v>628</v>
      </c>
      <c r="E378" s="180" t="s">
        <v>1157</v>
      </c>
      <c r="F378" s="180" t="s">
        <v>1157</v>
      </c>
    </row>
    <row r="379" spans="2:6" ht="13.2">
      <c r="B379" s="178">
        <v>463</v>
      </c>
      <c r="D379" s="180" t="s">
        <v>193</v>
      </c>
      <c r="E379" s="180" t="s">
        <v>1158</v>
      </c>
      <c r="F379" s="180" t="s">
        <v>1158</v>
      </c>
    </row>
    <row r="380" spans="2:6">
      <c r="B380" s="178">
        <v>464</v>
      </c>
      <c r="D380" s="180" t="s">
        <v>194</v>
      </c>
      <c r="F380" s="180"/>
    </row>
    <row r="381" spans="2:6" ht="13.2">
      <c r="B381" s="178">
        <v>465</v>
      </c>
      <c r="D381" s="180" t="s">
        <v>395</v>
      </c>
      <c r="E381" s="180" t="s">
        <v>1159</v>
      </c>
      <c r="F381" s="180" t="s">
        <v>1159</v>
      </c>
    </row>
    <row r="382" spans="2:6" ht="24">
      <c r="B382" s="178">
        <v>466</v>
      </c>
      <c r="D382" s="180" t="s">
        <v>618</v>
      </c>
      <c r="E382" s="180" t="s">
        <v>1160</v>
      </c>
      <c r="F382" s="180" t="s">
        <v>1160</v>
      </c>
    </row>
    <row r="383" spans="2:6" ht="24">
      <c r="B383" s="178">
        <v>467</v>
      </c>
      <c r="D383" s="180" t="s">
        <v>195</v>
      </c>
      <c r="E383" s="180" t="s">
        <v>1161</v>
      </c>
      <c r="F383" s="180" t="s">
        <v>1161</v>
      </c>
    </row>
    <row r="384" spans="2:6" ht="13.2">
      <c r="B384" s="178">
        <v>468</v>
      </c>
      <c r="D384" s="180" t="s">
        <v>196</v>
      </c>
      <c r="E384" s="180" t="s">
        <v>1162</v>
      </c>
      <c r="F384" s="180" t="s">
        <v>1162</v>
      </c>
    </row>
    <row r="385" spans="2:6" ht="13.2">
      <c r="B385" s="178">
        <v>469</v>
      </c>
      <c r="D385" s="180" t="s">
        <v>197</v>
      </c>
      <c r="E385" s="180" t="s">
        <v>1163</v>
      </c>
      <c r="F385" s="180" t="s">
        <v>1163</v>
      </c>
    </row>
    <row r="386" spans="2:6" ht="13.2">
      <c r="B386" s="178">
        <v>470</v>
      </c>
      <c r="C386" s="179" t="s">
        <v>547</v>
      </c>
      <c r="D386" s="180" t="s">
        <v>560</v>
      </c>
      <c r="E386" s="180" t="s">
        <v>1164</v>
      </c>
      <c r="F386" s="180" t="s">
        <v>1164</v>
      </c>
    </row>
    <row r="387" spans="2:6" ht="13.2">
      <c r="B387" s="178">
        <v>471</v>
      </c>
      <c r="C387" s="179" t="s">
        <v>547</v>
      </c>
      <c r="D387" s="180" t="s">
        <v>564</v>
      </c>
      <c r="E387" s="180" t="s">
        <v>1165</v>
      </c>
      <c r="F387" s="180" t="s">
        <v>1165</v>
      </c>
    </row>
    <row r="388" spans="2:6" ht="13.2">
      <c r="B388" s="178">
        <v>472</v>
      </c>
      <c r="D388" s="180" t="s">
        <v>198</v>
      </c>
      <c r="E388" s="180" t="s">
        <v>1166</v>
      </c>
      <c r="F388" s="180" t="s">
        <v>1166</v>
      </c>
    </row>
    <row r="389" spans="2:6" ht="13.2">
      <c r="B389" s="178">
        <v>473</v>
      </c>
      <c r="C389" s="179" t="s">
        <v>547</v>
      </c>
      <c r="D389" s="180" t="s">
        <v>556</v>
      </c>
      <c r="E389" s="180" t="s">
        <v>1167</v>
      </c>
      <c r="F389" s="180" t="s">
        <v>1167</v>
      </c>
    </row>
    <row r="390" spans="2:6" ht="24">
      <c r="B390" s="178">
        <v>474</v>
      </c>
      <c r="C390" s="179" t="s">
        <v>547</v>
      </c>
      <c r="D390" s="180" t="s">
        <v>558</v>
      </c>
      <c r="E390" s="180" t="s">
        <v>1168</v>
      </c>
      <c r="F390" s="180" t="s">
        <v>1168</v>
      </c>
    </row>
    <row r="391" spans="2:6" ht="13.2">
      <c r="B391" s="178">
        <v>475</v>
      </c>
      <c r="C391" s="179" t="s">
        <v>547</v>
      </c>
      <c r="D391" s="180" t="s">
        <v>559</v>
      </c>
      <c r="E391" s="180" t="s">
        <v>1169</v>
      </c>
      <c r="F391" s="180" t="s">
        <v>1169</v>
      </c>
    </row>
    <row r="392" spans="2:6" ht="13.2">
      <c r="B392" s="178">
        <v>476</v>
      </c>
      <c r="D392" s="180" t="s">
        <v>199</v>
      </c>
      <c r="E392" s="180" t="s">
        <v>1170</v>
      </c>
      <c r="F392" s="180" t="s">
        <v>1170</v>
      </c>
    </row>
    <row r="393" spans="2:6" ht="13.2">
      <c r="B393" s="178">
        <v>477</v>
      </c>
      <c r="D393" s="180" t="s">
        <v>200</v>
      </c>
      <c r="E393" s="180" t="s">
        <v>1171</v>
      </c>
      <c r="F393" s="180" t="s">
        <v>1171</v>
      </c>
    </row>
    <row r="394" spans="2:6" ht="39.6">
      <c r="B394" s="178">
        <v>478</v>
      </c>
      <c r="C394" s="179" t="s">
        <v>547</v>
      </c>
      <c r="D394" s="180" t="s">
        <v>577</v>
      </c>
      <c r="E394" s="180" t="s">
        <v>1172</v>
      </c>
      <c r="F394" s="180" t="s">
        <v>1172</v>
      </c>
    </row>
    <row r="395" spans="2:6" ht="13.2">
      <c r="B395" s="178">
        <v>479</v>
      </c>
      <c r="D395" s="180" t="s">
        <v>201</v>
      </c>
      <c r="E395" s="180" t="s">
        <v>1173</v>
      </c>
      <c r="F395" s="180" t="s">
        <v>1173</v>
      </c>
    </row>
    <row r="396" spans="2:6" ht="13.2">
      <c r="B396" s="178">
        <v>480</v>
      </c>
      <c r="D396" s="180" t="s">
        <v>632</v>
      </c>
      <c r="E396" s="180" t="s">
        <v>1174</v>
      </c>
      <c r="F396" s="180" t="s">
        <v>1174</v>
      </c>
    </row>
    <row r="397" spans="2:6" ht="13.2">
      <c r="B397" s="178">
        <v>481</v>
      </c>
      <c r="D397" s="180" t="s">
        <v>202</v>
      </c>
      <c r="E397" s="180" t="s">
        <v>1175</v>
      </c>
      <c r="F397" s="180" t="s">
        <v>1175</v>
      </c>
    </row>
    <row r="398" spans="2:6" ht="13.2">
      <c r="B398" s="178">
        <v>482</v>
      </c>
      <c r="D398" s="180" t="s">
        <v>203</v>
      </c>
      <c r="E398" s="180" t="s">
        <v>1176</v>
      </c>
      <c r="F398" s="180" t="s">
        <v>1176</v>
      </c>
    </row>
    <row r="399" spans="2:6" ht="13.2">
      <c r="B399" s="178">
        <v>483</v>
      </c>
      <c r="D399" s="180" t="s">
        <v>204</v>
      </c>
      <c r="E399" s="180" t="s">
        <v>1177</v>
      </c>
      <c r="F399" s="180" t="s">
        <v>1177</v>
      </c>
    </row>
    <row r="400" spans="2:6" ht="13.2">
      <c r="B400" s="178">
        <v>484</v>
      </c>
      <c r="D400" s="180" t="s">
        <v>205</v>
      </c>
      <c r="E400" s="180" t="s">
        <v>1178</v>
      </c>
      <c r="F400" s="180" t="s">
        <v>1178</v>
      </c>
    </row>
    <row r="401" spans="2:6" ht="26.4">
      <c r="B401" s="178">
        <v>485</v>
      </c>
      <c r="D401" s="180" t="s">
        <v>206</v>
      </c>
      <c r="E401" s="180" t="s">
        <v>1179</v>
      </c>
      <c r="F401" s="180" t="s">
        <v>1179</v>
      </c>
    </row>
    <row r="402" spans="2:6" ht="13.2">
      <c r="B402" s="178">
        <v>486</v>
      </c>
      <c r="D402" s="180" t="s">
        <v>631</v>
      </c>
      <c r="E402" s="180" t="s">
        <v>1180</v>
      </c>
      <c r="F402" s="180" t="s">
        <v>1180</v>
      </c>
    </row>
    <row r="403" spans="2:6" ht="13.2">
      <c r="B403" s="178">
        <v>487</v>
      </c>
      <c r="D403" s="180" t="s">
        <v>629</v>
      </c>
      <c r="E403" s="180" t="s">
        <v>1181</v>
      </c>
      <c r="F403" s="180" t="s">
        <v>1181</v>
      </c>
    </row>
    <row r="404" spans="2:6" ht="13.2">
      <c r="B404" s="178">
        <v>488</v>
      </c>
      <c r="D404" s="180" t="s">
        <v>630</v>
      </c>
      <c r="E404" s="180" t="s">
        <v>1182</v>
      </c>
      <c r="F404" s="180" t="s">
        <v>1182</v>
      </c>
    </row>
    <row r="405" spans="2:6" ht="13.2">
      <c r="B405" s="178">
        <v>489</v>
      </c>
      <c r="D405" s="180" t="s">
        <v>207</v>
      </c>
      <c r="E405" s="180" t="s">
        <v>1183</v>
      </c>
      <c r="F405" s="180" t="s">
        <v>1183</v>
      </c>
    </row>
    <row r="406" spans="2:6" ht="13.2">
      <c r="B406" s="178">
        <v>490</v>
      </c>
      <c r="C406" s="179" t="s">
        <v>470</v>
      </c>
      <c r="D406" s="180" t="s">
        <v>474</v>
      </c>
      <c r="E406" s="180" t="s">
        <v>1184</v>
      </c>
      <c r="F406" s="180" t="s">
        <v>1184</v>
      </c>
    </row>
    <row r="407" spans="2:6" ht="13.2">
      <c r="B407" s="178">
        <v>491</v>
      </c>
      <c r="D407" s="180" t="s">
        <v>208</v>
      </c>
      <c r="E407" s="180" t="s">
        <v>1185</v>
      </c>
      <c r="F407" s="180" t="s">
        <v>1185</v>
      </c>
    </row>
    <row r="408" spans="2:6" ht="13.2">
      <c r="B408" s="178">
        <v>492</v>
      </c>
      <c r="C408" s="179" t="s">
        <v>488</v>
      </c>
      <c r="D408" s="180" t="s">
        <v>486</v>
      </c>
      <c r="E408" s="180" t="s">
        <v>1186</v>
      </c>
      <c r="F408" s="180" t="s">
        <v>1186</v>
      </c>
    </row>
    <row r="409" spans="2:6" ht="13.2">
      <c r="B409" s="178">
        <v>493</v>
      </c>
      <c r="C409" s="179" t="s">
        <v>488</v>
      </c>
      <c r="D409" s="180" t="s">
        <v>485</v>
      </c>
      <c r="E409" s="180" t="s">
        <v>1187</v>
      </c>
      <c r="F409" s="180" t="s">
        <v>1187</v>
      </c>
    </row>
    <row r="410" spans="2:6" ht="13.2">
      <c r="B410" s="178">
        <v>494</v>
      </c>
      <c r="D410" s="180" t="s">
        <v>209</v>
      </c>
      <c r="E410" s="180" t="s">
        <v>1188</v>
      </c>
      <c r="F410" s="180" t="s">
        <v>1188</v>
      </c>
    </row>
    <row r="411" spans="2:6" ht="13.2">
      <c r="B411" s="178">
        <v>495</v>
      </c>
      <c r="D411" s="180" t="s">
        <v>210</v>
      </c>
      <c r="E411" s="180" t="s">
        <v>1189</v>
      </c>
      <c r="F411" s="180" t="s">
        <v>1189</v>
      </c>
    </row>
    <row r="412" spans="2:6" ht="13.2">
      <c r="B412" s="178">
        <v>496</v>
      </c>
      <c r="C412" s="179" t="s">
        <v>547</v>
      </c>
      <c r="D412" s="180" t="s">
        <v>660</v>
      </c>
      <c r="E412" s="180" t="s">
        <v>1190</v>
      </c>
      <c r="F412" s="180" t="s">
        <v>1190</v>
      </c>
    </row>
    <row r="413" spans="2:6" ht="13.2">
      <c r="B413" s="178">
        <v>497</v>
      </c>
      <c r="D413" s="180" t="s">
        <v>211</v>
      </c>
      <c r="E413" s="180" t="s">
        <v>1191</v>
      </c>
      <c r="F413" s="180" t="s">
        <v>1191</v>
      </c>
    </row>
    <row r="414" spans="2:6" ht="39.6">
      <c r="B414" s="178">
        <v>498</v>
      </c>
      <c r="D414" s="180" t="s">
        <v>212</v>
      </c>
      <c r="E414" s="180" t="s">
        <v>1192</v>
      </c>
      <c r="F414" s="180" t="s">
        <v>1192</v>
      </c>
    </row>
    <row r="415" spans="2:6" ht="13.2">
      <c r="B415" s="178">
        <v>499</v>
      </c>
      <c r="D415" s="180" t="s">
        <v>213</v>
      </c>
      <c r="E415" s="180" t="s">
        <v>1193</v>
      </c>
      <c r="F415" s="180" t="s">
        <v>1193</v>
      </c>
    </row>
    <row r="416" spans="2:6" ht="24">
      <c r="B416" s="178">
        <v>500</v>
      </c>
      <c r="D416" s="180" t="s">
        <v>214</v>
      </c>
      <c r="E416" s="180" t="s">
        <v>1194</v>
      </c>
      <c r="F416" s="180" t="s">
        <v>1194</v>
      </c>
    </row>
    <row r="417" spans="2:6" ht="13.2">
      <c r="B417" s="178">
        <v>501</v>
      </c>
      <c r="D417" s="180" t="s">
        <v>215</v>
      </c>
      <c r="E417" s="180" t="s">
        <v>1195</v>
      </c>
      <c r="F417" s="180" t="s">
        <v>1195</v>
      </c>
    </row>
    <row r="418" spans="2:6" ht="24">
      <c r="B418" s="178">
        <v>502</v>
      </c>
      <c r="D418" s="180" t="s">
        <v>216</v>
      </c>
      <c r="E418" s="180" t="s">
        <v>1196</v>
      </c>
      <c r="F418" s="180" t="s">
        <v>1196</v>
      </c>
    </row>
    <row r="419" spans="2:6" ht="24">
      <c r="B419" s="178">
        <v>503</v>
      </c>
      <c r="D419" s="180" t="s">
        <v>217</v>
      </c>
      <c r="E419" s="180" t="s">
        <v>1197</v>
      </c>
      <c r="F419" s="180" t="s">
        <v>1197</v>
      </c>
    </row>
    <row r="420" spans="2:6" ht="24">
      <c r="B420" s="178">
        <v>504</v>
      </c>
      <c r="D420" s="180" t="s">
        <v>218</v>
      </c>
      <c r="E420" s="180" t="s">
        <v>1198</v>
      </c>
      <c r="F420" s="180" t="s">
        <v>1198</v>
      </c>
    </row>
    <row r="421" spans="2:6" ht="24">
      <c r="B421" s="178">
        <v>505</v>
      </c>
      <c r="D421" s="180" t="s">
        <v>219</v>
      </c>
      <c r="E421" s="180" t="s">
        <v>1199</v>
      </c>
      <c r="F421" s="180" t="s">
        <v>1199</v>
      </c>
    </row>
    <row r="422" spans="2:6" ht="24">
      <c r="B422" s="178">
        <v>506</v>
      </c>
      <c r="D422" s="180" t="s">
        <v>220</v>
      </c>
      <c r="E422" s="180" t="s">
        <v>1200</v>
      </c>
      <c r="F422" s="180" t="s">
        <v>1200</v>
      </c>
    </row>
    <row r="423" spans="2:6" ht="24">
      <c r="B423" s="178">
        <v>507</v>
      </c>
      <c r="D423" s="180" t="s">
        <v>221</v>
      </c>
      <c r="E423" s="180" t="s">
        <v>1201</v>
      </c>
      <c r="F423" s="180" t="s">
        <v>1201</v>
      </c>
    </row>
    <row r="424" spans="2:6" ht="24">
      <c r="B424" s="178">
        <v>508</v>
      </c>
      <c r="D424" s="180" t="s">
        <v>222</v>
      </c>
      <c r="E424" s="180" t="s">
        <v>1202</v>
      </c>
      <c r="F424" s="180" t="s">
        <v>1202</v>
      </c>
    </row>
    <row r="425" spans="2:6" ht="24">
      <c r="B425" s="178">
        <v>509</v>
      </c>
      <c r="D425" s="180" t="s">
        <v>223</v>
      </c>
      <c r="E425" s="180" t="s">
        <v>1203</v>
      </c>
      <c r="F425" s="180" t="s">
        <v>1203</v>
      </c>
    </row>
    <row r="426" spans="2:6" ht="24">
      <c r="B426" s="178">
        <v>510</v>
      </c>
      <c r="D426" s="180" t="s">
        <v>224</v>
      </c>
      <c r="E426" s="180" t="s">
        <v>1204</v>
      </c>
      <c r="F426" s="180" t="s">
        <v>1204</v>
      </c>
    </row>
    <row r="427" spans="2:6" ht="24">
      <c r="B427" s="178">
        <v>511</v>
      </c>
      <c r="D427" s="180" t="s">
        <v>225</v>
      </c>
      <c r="E427" s="180" t="s">
        <v>1205</v>
      </c>
      <c r="F427" s="180" t="s">
        <v>1205</v>
      </c>
    </row>
    <row r="428" spans="2:6" ht="24">
      <c r="B428" s="178">
        <v>512</v>
      </c>
      <c r="D428" s="180" t="s">
        <v>226</v>
      </c>
      <c r="E428" s="180" t="s">
        <v>1206</v>
      </c>
      <c r="F428" s="180" t="s">
        <v>1206</v>
      </c>
    </row>
    <row r="429" spans="2:6" ht="24">
      <c r="B429" s="178">
        <v>513</v>
      </c>
      <c r="D429" s="180" t="s">
        <v>227</v>
      </c>
      <c r="E429" s="180" t="s">
        <v>1207</v>
      </c>
      <c r="F429" s="180" t="s">
        <v>1207</v>
      </c>
    </row>
    <row r="430" spans="2:6" ht="24">
      <c r="B430" s="178">
        <v>514</v>
      </c>
      <c r="D430" s="180" t="s">
        <v>228</v>
      </c>
      <c r="E430" s="180" t="s">
        <v>1208</v>
      </c>
      <c r="F430" s="180" t="s">
        <v>1208</v>
      </c>
    </row>
    <row r="431" spans="2:6" ht="24">
      <c r="B431" s="178">
        <v>515</v>
      </c>
      <c r="D431" s="180" t="s">
        <v>229</v>
      </c>
      <c r="E431" s="180" t="s">
        <v>1209</v>
      </c>
      <c r="F431" s="180" t="s">
        <v>1209</v>
      </c>
    </row>
    <row r="432" spans="2:6" ht="24">
      <c r="B432" s="178">
        <v>516</v>
      </c>
      <c r="D432" s="180" t="s">
        <v>230</v>
      </c>
      <c r="E432" s="180" t="s">
        <v>1210</v>
      </c>
      <c r="F432" s="180" t="s">
        <v>1210</v>
      </c>
    </row>
    <row r="433" spans="1:27" ht="24">
      <c r="B433" s="178">
        <v>517</v>
      </c>
      <c r="D433" s="180" t="s">
        <v>231</v>
      </c>
      <c r="E433" s="180" t="s">
        <v>1211</v>
      </c>
      <c r="F433" s="180" t="s">
        <v>1211</v>
      </c>
    </row>
    <row r="434" spans="1:27" ht="24">
      <c r="B434" s="178">
        <v>518</v>
      </c>
      <c r="D434" s="180" t="s">
        <v>232</v>
      </c>
      <c r="E434" s="180" t="s">
        <v>1212</v>
      </c>
      <c r="F434" s="180" t="s">
        <v>1212</v>
      </c>
    </row>
    <row r="435" spans="1:27" ht="24">
      <c r="B435" s="178">
        <v>519</v>
      </c>
      <c r="D435" s="180" t="s">
        <v>233</v>
      </c>
      <c r="E435" s="180" t="s">
        <v>1213</v>
      </c>
      <c r="F435" s="180" t="s">
        <v>1213</v>
      </c>
    </row>
    <row r="436" spans="1:27" ht="24">
      <c r="B436" s="178">
        <v>520</v>
      </c>
      <c r="D436" s="180" t="s">
        <v>234</v>
      </c>
      <c r="E436" s="180" t="s">
        <v>1214</v>
      </c>
      <c r="F436" s="180" t="s">
        <v>1214</v>
      </c>
    </row>
    <row r="437" spans="1:27" ht="24">
      <c r="B437" s="178">
        <v>521</v>
      </c>
      <c r="D437" s="180" t="s">
        <v>396</v>
      </c>
      <c r="E437" s="180" t="s">
        <v>1215</v>
      </c>
      <c r="F437" s="180" t="s">
        <v>1215</v>
      </c>
    </row>
    <row r="438" spans="1:27" ht="24">
      <c r="B438" s="178">
        <v>522</v>
      </c>
      <c r="D438" s="180" t="s">
        <v>397</v>
      </c>
      <c r="E438" s="180" t="s">
        <v>1215</v>
      </c>
      <c r="F438" s="180" t="s">
        <v>1215</v>
      </c>
    </row>
    <row r="439" spans="1:27" ht="26.4">
      <c r="B439" s="178">
        <v>523</v>
      </c>
      <c r="D439" s="180" t="s">
        <v>235</v>
      </c>
      <c r="E439" s="180" t="s">
        <v>1216</v>
      </c>
      <c r="F439" s="180" t="s">
        <v>1216</v>
      </c>
    </row>
    <row r="440" spans="1:27" ht="24">
      <c r="B440" s="178">
        <v>524</v>
      </c>
      <c r="D440" s="180" t="s">
        <v>236</v>
      </c>
      <c r="E440" s="180" t="s">
        <v>1217</v>
      </c>
      <c r="F440" s="180" t="s">
        <v>1217</v>
      </c>
    </row>
    <row r="441" spans="1:27" ht="26.4">
      <c r="B441" s="178">
        <v>525</v>
      </c>
      <c r="D441" s="180" t="s">
        <v>237</v>
      </c>
      <c r="E441" s="180" t="s">
        <v>1218</v>
      </c>
      <c r="F441" s="180" t="s">
        <v>1218</v>
      </c>
    </row>
    <row r="442" spans="1:27" ht="24">
      <c r="B442" s="178">
        <v>526</v>
      </c>
      <c r="D442" s="180" t="s">
        <v>238</v>
      </c>
      <c r="E442" s="180" t="s">
        <v>1219</v>
      </c>
      <c r="F442" s="180" t="s">
        <v>1219</v>
      </c>
    </row>
    <row r="443" spans="1:27" ht="24">
      <c r="B443" s="178">
        <v>527</v>
      </c>
      <c r="D443" s="180" t="s">
        <v>398</v>
      </c>
      <c r="E443" s="180" t="s">
        <v>1220</v>
      </c>
      <c r="F443" s="180" t="s">
        <v>1220</v>
      </c>
    </row>
    <row r="444" spans="1:27" s="181" customFormat="1" ht="24">
      <c r="A444" s="177"/>
      <c r="B444" s="178">
        <v>528</v>
      </c>
      <c r="C444" s="179"/>
      <c r="D444" s="180" t="s">
        <v>399</v>
      </c>
      <c r="E444" s="180" t="s">
        <v>1221</v>
      </c>
      <c r="F444" s="180" t="s">
        <v>1221</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1222</v>
      </c>
      <c r="F445" s="180" t="s">
        <v>1222</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1223</v>
      </c>
      <c r="F446" s="180" t="s">
        <v>1223</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1224</v>
      </c>
      <c r="F447" s="180" t="s">
        <v>1224</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1225</v>
      </c>
      <c r="F448" s="180" t="s">
        <v>1225</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1226</v>
      </c>
      <c r="F449" s="180" t="s">
        <v>1226</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1227</v>
      </c>
      <c r="F450" s="180" t="s">
        <v>1227</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1228</v>
      </c>
      <c r="F451" s="180" t="s">
        <v>1228</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1229</v>
      </c>
      <c r="F452" s="180" t="s">
        <v>1229</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1230</v>
      </c>
      <c r="F453" s="180" t="s">
        <v>1230</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1231</v>
      </c>
      <c r="F454" s="180" t="s">
        <v>1231</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1232</v>
      </c>
      <c r="F455" s="180" t="s">
        <v>1232</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1233</v>
      </c>
      <c r="F456" s="180" t="s">
        <v>1233</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1234</v>
      </c>
      <c r="F457" s="180" t="s">
        <v>1234</v>
      </c>
    </row>
    <row r="458" spans="1:27" ht="13.2">
      <c r="B458" s="178">
        <v>542</v>
      </c>
      <c r="D458" s="180" t="s">
        <v>252</v>
      </c>
      <c r="E458" s="180" t="s">
        <v>1235</v>
      </c>
      <c r="F458" s="180" t="s">
        <v>1235</v>
      </c>
    </row>
    <row r="459" spans="1:27" ht="24">
      <c r="B459" s="178">
        <v>543</v>
      </c>
      <c r="D459" s="180" t="s">
        <v>400</v>
      </c>
      <c r="E459" s="180" t="s">
        <v>1236</v>
      </c>
      <c r="F459" s="180" t="s">
        <v>1236</v>
      </c>
    </row>
    <row r="460" spans="1:27" ht="48">
      <c r="A460" s="181"/>
      <c r="B460" s="178">
        <v>544</v>
      </c>
      <c r="C460" s="187" t="s">
        <v>432</v>
      </c>
      <c r="D460" s="181" t="s">
        <v>445</v>
      </c>
      <c r="E460" s="181" t="s">
        <v>1237</v>
      </c>
      <c r="F460" s="181" t="s">
        <v>1237</v>
      </c>
    </row>
    <row r="461" spans="1:27" ht="39.6">
      <c r="B461" s="178">
        <v>545</v>
      </c>
      <c r="D461" s="180" t="s">
        <v>253</v>
      </c>
      <c r="E461" s="180" t="s">
        <v>1238</v>
      </c>
      <c r="F461" s="180" t="s">
        <v>1238</v>
      </c>
    </row>
    <row r="462" spans="1:27" ht="13.2">
      <c r="B462" s="178">
        <v>546</v>
      </c>
      <c r="D462" s="180" t="s">
        <v>254</v>
      </c>
      <c r="E462" s="180" t="s">
        <v>1239</v>
      </c>
      <c r="F462" s="180" t="s">
        <v>1239</v>
      </c>
    </row>
    <row r="463" spans="1:27" ht="13.2">
      <c r="B463" s="178">
        <v>547</v>
      </c>
      <c r="D463" s="180" t="s">
        <v>255</v>
      </c>
      <c r="E463" s="180" t="s">
        <v>1240</v>
      </c>
      <c r="F463" s="180" t="s">
        <v>1240</v>
      </c>
    </row>
    <row r="464" spans="1:27" ht="13.2">
      <c r="B464" s="178">
        <v>548</v>
      </c>
      <c r="D464" s="180" t="s">
        <v>256</v>
      </c>
      <c r="E464" s="180" t="s">
        <v>1241</v>
      </c>
      <c r="F464" s="180" t="s">
        <v>1241</v>
      </c>
    </row>
    <row r="465" spans="2:6" ht="24">
      <c r="B465" s="178">
        <v>549</v>
      </c>
      <c r="D465" s="180" t="s">
        <v>483</v>
      </c>
      <c r="E465" s="180" t="s">
        <v>1242</v>
      </c>
      <c r="F465" s="180" t="s">
        <v>1242</v>
      </c>
    </row>
    <row r="466" spans="2:6" ht="13.2">
      <c r="B466" s="178">
        <v>550</v>
      </c>
      <c r="D466" s="180" t="s">
        <v>257</v>
      </c>
      <c r="E466" s="180" t="s">
        <v>1243</v>
      </c>
      <c r="F466" s="180" t="s">
        <v>1243</v>
      </c>
    </row>
    <row r="467" spans="2:6" ht="13.2">
      <c r="B467" s="178">
        <v>551</v>
      </c>
      <c r="D467" s="180" t="s">
        <v>258</v>
      </c>
      <c r="E467" s="180" t="s">
        <v>1244</v>
      </c>
      <c r="F467" s="180" t="s">
        <v>1244</v>
      </c>
    </row>
    <row r="468" spans="2:6" ht="13.2">
      <c r="B468" s="178">
        <v>552</v>
      </c>
      <c r="D468" s="180" t="s">
        <v>259</v>
      </c>
      <c r="E468" s="180" t="s">
        <v>1245</v>
      </c>
      <c r="F468" s="180" t="s">
        <v>1245</v>
      </c>
    </row>
    <row r="469" spans="2:6" ht="24">
      <c r="B469" s="178">
        <v>553</v>
      </c>
      <c r="D469" s="180" t="s">
        <v>610</v>
      </c>
      <c r="E469" s="180" t="s">
        <v>1246</v>
      </c>
      <c r="F469" s="180" t="s">
        <v>1246</v>
      </c>
    </row>
    <row r="470" spans="2:6" ht="13.2">
      <c r="B470" s="178">
        <v>554</v>
      </c>
      <c r="D470" s="180" t="s">
        <v>611</v>
      </c>
      <c r="E470" s="180" t="s">
        <v>1247</v>
      </c>
      <c r="F470" s="180" t="s">
        <v>1247</v>
      </c>
    </row>
    <row r="471" spans="2:6" ht="13.2">
      <c r="B471" s="178">
        <v>555</v>
      </c>
      <c r="D471" s="180" t="s">
        <v>260</v>
      </c>
      <c r="E471" s="180" t="s">
        <v>1248</v>
      </c>
      <c r="F471" s="180" t="s">
        <v>1248</v>
      </c>
    </row>
    <row r="472" spans="2:6" ht="13.2">
      <c r="B472" s="178">
        <v>556</v>
      </c>
      <c r="D472" s="180" t="s">
        <v>401</v>
      </c>
      <c r="E472" s="180" t="s">
        <v>1249</v>
      </c>
      <c r="F472" s="180" t="s">
        <v>1249</v>
      </c>
    </row>
    <row r="473" spans="2:6" ht="24">
      <c r="B473" s="178">
        <v>557</v>
      </c>
      <c r="D473" s="180" t="s">
        <v>261</v>
      </c>
      <c r="E473" s="180" t="s">
        <v>1250</v>
      </c>
      <c r="F473" s="180" t="s">
        <v>1250</v>
      </c>
    </row>
    <row r="474" spans="2:6" ht="24">
      <c r="B474" s="178">
        <v>558</v>
      </c>
      <c r="D474" s="180" t="s">
        <v>402</v>
      </c>
      <c r="E474" s="180" t="s">
        <v>1251</v>
      </c>
      <c r="F474" s="180" t="s">
        <v>1251</v>
      </c>
    </row>
    <row r="475" spans="2:6" ht="26.4">
      <c r="B475" s="178">
        <v>559</v>
      </c>
      <c r="D475" s="180" t="s">
        <v>262</v>
      </c>
      <c r="E475" s="180" t="s">
        <v>1252</v>
      </c>
      <c r="F475" s="180" t="s">
        <v>1252</v>
      </c>
    </row>
    <row r="476" spans="2:6" ht="13.2">
      <c r="B476" s="178">
        <v>560</v>
      </c>
      <c r="D476" s="180" t="s">
        <v>263</v>
      </c>
      <c r="E476" s="180" t="s">
        <v>1253</v>
      </c>
      <c r="F476" s="180" t="s">
        <v>1253</v>
      </c>
    </row>
    <row r="477" spans="2:6" ht="13.2">
      <c r="B477" s="178">
        <v>561</v>
      </c>
      <c r="C477" s="179" t="s">
        <v>488</v>
      </c>
      <c r="D477" s="180" t="s">
        <v>487</v>
      </c>
      <c r="E477" s="180" t="s">
        <v>1254</v>
      </c>
      <c r="F477" s="180" t="s">
        <v>1254</v>
      </c>
    </row>
    <row r="478" spans="2:6" ht="26.4">
      <c r="B478" s="178">
        <v>562</v>
      </c>
      <c r="C478" s="179" t="s">
        <v>488</v>
      </c>
      <c r="D478" s="180" t="s">
        <v>484</v>
      </c>
      <c r="E478" s="180" t="s">
        <v>1255</v>
      </c>
      <c r="F478" s="180" t="s">
        <v>1255</v>
      </c>
    </row>
    <row r="479" spans="2:6" ht="13.2">
      <c r="B479" s="178">
        <v>563</v>
      </c>
      <c r="D479" s="180" t="s">
        <v>264</v>
      </c>
      <c r="E479" s="180" t="s">
        <v>1256</v>
      </c>
      <c r="F479" s="180" t="s">
        <v>1256</v>
      </c>
    </row>
    <row r="480" spans="2:6" ht="13.2">
      <c r="B480" s="178">
        <v>564</v>
      </c>
      <c r="D480" s="180" t="s">
        <v>265</v>
      </c>
      <c r="E480" s="180" t="s">
        <v>1257</v>
      </c>
      <c r="F480" s="180" t="s">
        <v>1257</v>
      </c>
    </row>
    <row r="481" spans="2:6" ht="36">
      <c r="B481" s="178">
        <v>565</v>
      </c>
      <c r="D481" s="180" t="s">
        <v>332</v>
      </c>
      <c r="E481" s="180" t="s">
        <v>1258</v>
      </c>
      <c r="F481" s="180" t="s">
        <v>1258</v>
      </c>
    </row>
    <row r="482" spans="2:6" ht="13.2">
      <c r="B482" s="178">
        <v>566</v>
      </c>
      <c r="D482" s="180" t="s">
        <v>266</v>
      </c>
      <c r="E482" s="180" t="s">
        <v>1259</v>
      </c>
      <c r="F482" s="180" t="s">
        <v>1259</v>
      </c>
    </row>
    <row r="483" spans="2:6" ht="13.2">
      <c r="B483" s="178">
        <v>567</v>
      </c>
      <c r="D483" s="180" t="s">
        <v>267</v>
      </c>
      <c r="E483" s="180" t="s">
        <v>1260</v>
      </c>
      <c r="F483" s="180" t="s">
        <v>1260</v>
      </c>
    </row>
    <row r="484" spans="2:6" ht="13.2">
      <c r="B484" s="178">
        <v>568</v>
      </c>
      <c r="D484" s="180" t="s">
        <v>268</v>
      </c>
      <c r="E484" s="180" t="s">
        <v>1261</v>
      </c>
      <c r="F484" s="180" t="s">
        <v>1261</v>
      </c>
    </row>
    <row r="485" spans="2:6" ht="13.2">
      <c r="B485" s="178">
        <v>569</v>
      </c>
      <c r="D485" s="180" t="s">
        <v>269</v>
      </c>
      <c r="E485" s="180" t="s">
        <v>1262</v>
      </c>
      <c r="F485" s="180" t="s">
        <v>1262</v>
      </c>
    </row>
    <row r="486" spans="2:6" ht="13.2">
      <c r="B486" s="178">
        <v>570</v>
      </c>
      <c r="D486" s="180" t="s">
        <v>270</v>
      </c>
      <c r="E486" s="180" t="s">
        <v>1263</v>
      </c>
      <c r="F486" s="180" t="s">
        <v>1263</v>
      </c>
    </row>
    <row r="487" spans="2:6" ht="36">
      <c r="B487" s="178">
        <v>571</v>
      </c>
      <c r="D487" s="180" t="s">
        <v>271</v>
      </c>
      <c r="E487" s="180" t="s">
        <v>1264</v>
      </c>
      <c r="F487" s="180" t="s">
        <v>1264</v>
      </c>
    </row>
    <row r="488" spans="2:6" ht="13.2">
      <c r="B488" s="178">
        <v>572</v>
      </c>
      <c r="D488" s="180" t="s">
        <v>272</v>
      </c>
      <c r="E488" s="180" t="s">
        <v>1265</v>
      </c>
      <c r="F488" s="180" t="s">
        <v>1265</v>
      </c>
    </row>
    <row r="489" spans="2:6" ht="13.2">
      <c r="B489" s="178">
        <v>573</v>
      </c>
      <c r="D489" s="180" t="s">
        <v>273</v>
      </c>
      <c r="E489" s="180" t="s">
        <v>1266</v>
      </c>
      <c r="F489" s="180" t="s">
        <v>1266</v>
      </c>
    </row>
    <row r="490" spans="2:6" ht="13.2">
      <c r="B490" s="178">
        <v>574</v>
      </c>
      <c r="D490" s="180" t="s">
        <v>274</v>
      </c>
      <c r="E490" s="180" t="s">
        <v>1267</v>
      </c>
      <c r="F490" s="180" t="s">
        <v>1267</v>
      </c>
    </row>
    <row r="491" spans="2:6" ht="26.4">
      <c r="B491" s="178">
        <v>575</v>
      </c>
      <c r="D491" s="180" t="s">
        <v>403</v>
      </c>
      <c r="E491" s="180" t="s">
        <v>1268</v>
      </c>
      <c r="F491" s="180" t="s">
        <v>1268</v>
      </c>
    </row>
    <row r="492" spans="2:6" ht="13.2">
      <c r="B492" s="178">
        <v>576</v>
      </c>
      <c r="D492" s="180" t="s">
        <v>275</v>
      </c>
      <c r="E492" s="180" t="s">
        <v>1269</v>
      </c>
      <c r="F492" s="180" t="s">
        <v>1269</v>
      </c>
    </row>
    <row r="493" spans="2:6" ht="13.2">
      <c r="B493" s="178">
        <v>577</v>
      </c>
      <c r="D493" s="180" t="s">
        <v>276</v>
      </c>
      <c r="E493" s="180" t="s">
        <v>1270</v>
      </c>
      <c r="F493" s="180" t="s">
        <v>1270</v>
      </c>
    </row>
    <row r="494" spans="2:6" ht="13.2">
      <c r="B494" s="178">
        <v>578</v>
      </c>
      <c r="D494" s="180" t="s">
        <v>616</v>
      </c>
      <c r="E494" s="180" t="s">
        <v>1271</v>
      </c>
      <c r="F494" s="180" t="s">
        <v>1271</v>
      </c>
    </row>
    <row r="495" spans="2:6" ht="13.2">
      <c r="B495" s="178">
        <v>579</v>
      </c>
      <c r="D495" s="180" t="s">
        <v>614</v>
      </c>
      <c r="E495" s="180" t="s">
        <v>1272</v>
      </c>
      <c r="F495" s="180" t="s">
        <v>1272</v>
      </c>
    </row>
    <row r="496" spans="2:6" ht="13.2">
      <c r="B496" s="178">
        <v>580</v>
      </c>
      <c r="D496" s="180" t="s">
        <v>277</v>
      </c>
      <c r="E496" s="180" t="s">
        <v>1273</v>
      </c>
      <c r="F496" s="180" t="s">
        <v>1273</v>
      </c>
    </row>
    <row r="497" spans="1:6" ht="13.2">
      <c r="B497" s="178">
        <v>581</v>
      </c>
      <c r="D497" s="180" t="s">
        <v>404</v>
      </c>
      <c r="E497" s="180" t="s">
        <v>1274</v>
      </c>
      <c r="F497" s="180" t="s">
        <v>1274</v>
      </c>
    </row>
    <row r="498" spans="1:6" ht="39.6">
      <c r="B498" s="178">
        <v>582</v>
      </c>
      <c r="D498" s="180" t="s">
        <v>405</v>
      </c>
      <c r="E498" s="180" t="s">
        <v>1275</v>
      </c>
      <c r="F498" s="180" t="s">
        <v>1275</v>
      </c>
    </row>
    <row r="499" spans="1:6" ht="13.2">
      <c r="B499" s="178">
        <v>583</v>
      </c>
      <c r="D499" s="180" t="s">
        <v>278</v>
      </c>
      <c r="E499" s="180" t="s">
        <v>1276</v>
      </c>
      <c r="F499" s="180" t="s">
        <v>1276</v>
      </c>
    </row>
    <row r="500" spans="1:6" ht="13.2">
      <c r="B500" s="178">
        <v>584</v>
      </c>
      <c r="D500" s="180" t="s">
        <v>279</v>
      </c>
      <c r="E500" s="180" t="s">
        <v>1277</v>
      </c>
      <c r="F500" s="180" t="s">
        <v>1277</v>
      </c>
    </row>
    <row r="501" spans="1:6" ht="13.2">
      <c r="B501" s="178">
        <v>585</v>
      </c>
      <c r="C501" s="179" t="s">
        <v>470</v>
      </c>
      <c r="D501" s="177" t="s">
        <v>465</v>
      </c>
      <c r="E501" s="185" t="s">
        <v>1278</v>
      </c>
      <c r="F501" s="185" t="s">
        <v>1278</v>
      </c>
    </row>
    <row r="502" spans="1:6" ht="13.2">
      <c r="B502" s="178">
        <v>586</v>
      </c>
      <c r="C502" s="179" t="s">
        <v>470</v>
      </c>
      <c r="D502" s="180" t="s">
        <v>463</v>
      </c>
      <c r="E502" s="185" t="s">
        <v>1279</v>
      </c>
      <c r="F502" s="185" t="s">
        <v>1279</v>
      </c>
    </row>
    <row r="503" spans="1:6" ht="13.2">
      <c r="B503" s="178">
        <v>587</v>
      </c>
      <c r="D503" s="180" t="s">
        <v>280</v>
      </c>
      <c r="E503" s="180" t="s">
        <v>1280</v>
      </c>
      <c r="F503" s="180" t="s">
        <v>1280</v>
      </c>
    </row>
    <row r="504" spans="1:6" ht="39.6">
      <c r="B504" s="178">
        <v>588</v>
      </c>
      <c r="D504" s="180" t="s">
        <v>281</v>
      </c>
      <c r="E504" s="180" t="s">
        <v>1281</v>
      </c>
      <c r="F504" s="180" t="s">
        <v>1281</v>
      </c>
    </row>
    <row r="505" spans="1:6" ht="13.2">
      <c r="B505" s="178">
        <v>589</v>
      </c>
      <c r="D505" s="180" t="s">
        <v>282</v>
      </c>
      <c r="E505" s="180" t="s">
        <v>1282</v>
      </c>
      <c r="F505" s="180" t="s">
        <v>1282</v>
      </c>
    </row>
    <row r="506" spans="1:6" ht="13.2">
      <c r="A506" s="182"/>
      <c r="B506" s="178">
        <v>590</v>
      </c>
      <c r="C506" s="183" t="s">
        <v>414</v>
      </c>
      <c r="D506" s="181" t="s">
        <v>420</v>
      </c>
      <c r="E506" s="181" t="s">
        <v>1283</v>
      </c>
      <c r="F506" s="181" t="s">
        <v>1283</v>
      </c>
    </row>
    <row r="507" spans="1:6" ht="13.2">
      <c r="A507" s="182"/>
      <c r="B507" s="178">
        <v>591</v>
      </c>
      <c r="C507" s="183" t="s">
        <v>414</v>
      </c>
      <c r="D507" s="181" t="s">
        <v>446</v>
      </c>
      <c r="E507" s="181" t="s">
        <v>1284</v>
      </c>
      <c r="F507" s="181" t="s">
        <v>1284</v>
      </c>
    </row>
    <row r="508" spans="1:6" ht="13.2">
      <c r="B508" s="178">
        <v>592</v>
      </c>
      <c r="D508" s="180" t="s">
        <v>283</v>
      </c>
      <c r="E508" s="181" t="s">
        <v>1285</v>
      </c>
      <c r="F508" s="181" t="s">
        <v>1285</v>
      </c>
    </row>
    <row r="509" spans="1:6" ht="13.2">
      <c r="B509" s="178">
        <v>593</v>
      </c>
      <c r="D509" s="180" t="s">
        <v>284</v>
      </c>
      <c r="E509" s="180" t="s">
        <v>1286</v>
      </c>
      <c r="F509" s="180" t="s">
        <v>1286</v>
      </c>
    </row>
    <row r="510" spans="1:6" ht="13.2">
      <c r="B510" s="178">
        <v>594</v>
      </c>
      <c r="D510" s="180" t="s">
        <v>285</v>
      </c>
      <c r="E510" s="180" t="s">
        <v>1287</v>
      </c>
      <c r="F510" s="180" t="s">
        <v>1287</v>
      </c>
    </row>
    <row r="511" spans="1:6" ht="24">
      <c r="B511" s="178">
        <v>595</v>
      </c>
      <c r="D511" s="180" t="s">
        <v>286</v>
      </c>
      <c r="E511" s="180" t="s">
        <v>1288</v>
      </c>
      <c r="F511" s="180" t="s">
        <v>1288</v>
      </c>
    </row>
    <row r="512" spans="1:6" ht="13.2">
      <c r="B512" s="178">
        <v>596</v>
      </c>
      <c r="D512" s="180" t="s">
        <v>287</v>
      </c>
      <c r="E512" s="180" t="s">
        <v>1289</v>
      </c>
      <c r="F512" s="180" t="s">
        <v>1289</v>
      </c>
    </row>
    <row r="513" spans="2:6" ht="36">
      <c r="B513" s="178">
        <v>597</v>
      </c>
      <c r="D513" s="180" t="s">
        <v>288</v>
      </c>
      <c r="E513" s="180" t="s">
        <v>1290</v>
      </c>
      <c r="F513" s="180" t="s">
        <v>1290</v>
      </c>
    </row>
    <row r="514" spans="2:6" ht="13.2">
      <c r="B514" s="178">
        <v>598</v>
      </c>
      <c r="D514" s="180" t="s">
        <v>289</v>
      </c>
      <c r="E514" s="180" t="s">
        <v>1291</v>
      </c>
      <c r="F514" s="180" t="s">
        <v>1291</v>
      </c>
    </row>
    <row r="515" spans="2:6" ht="13.2">
      <c r="B515" s="178">
        <v>599</v>
      </c>
      <c r="D515" s="180" t="s">
        <v>290</v>
      </c>
      <c r="E515" s="180" t="s">
        <v>1292</v>
      </c>
      <c r="F515" s="180" t="s">
        <v>1292</v>
      </c>
    </row>
    <row r="516" spans="2:6" ht="13.2">
      <c r="B516" s="178">
        <v>600</v>
      </c>
      <c r="D516" s="180" t="s">
        <v>291</v>
      </c>
      <c r="E516" s="180" t="s">
        <v>1293</v>
      </c>
      <c r="F516" s="180" t="s">
        <v>1293</v>
      </c>
    </row>
    <row r="517" spans="2:6" ht="13.2">
      <c r="B517" s="178">
        <v>601</v>
      </c>
      <c r="D517" s="180" t="s">
        <v>292</v>
      </c>
      <c r="E517" s="180" t="s">
        <v>1294</v>
      </c>
      <c r="F517" s="180" t="s">
        <v>1294</v>
      </c>
    </row>
    <row r="518" spans="2:6" ht="13.2">
      <c r="B518" s="178">
        <v>602</v>
      </c>
      <c r="D518" s="180" t="s">
        <v>293</v>
      </c>
      <c r="E518" s="180" t="s">
        <v>1295</v>
      </c>
      <c r="F518" s="180" t="s">
        <v>1295</v>
      </c>
    </row>
    <row r="519" spans="2:6" ht="13.2">
      <c r="B519" s="178">
        <v>603</v>
      </c>
      <c r="D519" s="180" t="s">
        <v>294</v>
      </c>
      <c r="E519" s="180" t="s">
        <v>1296</v>
      </c>
      <c r="F519" s="180" t="s">
        <v>1296</v>
      </c>
    </row>
    <row r="520" spans="2:6">
      <c r="B520" s="178">
        <v>604</v>
      </c>
      <c r="D520" s="180" t="s">
        <v>295</v>
      </c>
      <c r="E520" s="180" t="s">
        <v>295</v>
      </c>
      <c r="F520" s="180" t="s">
        <v>295</v>
      </c>
    </row>
    <row r="521" spans="2:6" ht="13.2">
      <c r="B521" s="178">
        <v>605</v>
      </c>
      <c r="D521" s="180" t="s">
        <v>406</v>
      </c>
      <c r="E521" s="180" t="s">
        <v>1297</v>
      </c>
      <c r="F521" s="180" t="s">
        <v>1297</v>
      </c>
    </row>
    <row r="522" spans="2:6" ht="26.4">
      <c r="B522" s="178">
        <v>606</v>
      </c>
      <c r="D522" s="180" t="s">
        <v>296</v>
      </c>
      <c r="E522" s="180" t="s">
        <v>1298</v>
      </c>
      <c r="F522" s="180" t="s">
        <v>1298</v>
      </c>
    </row>
    <row r="523" spans="2:6">
      <c r="B523" s="178">
        <v>607</v>
      </c>
      <c r="D523" s="180" t="s">
        <v>297</v>
      </c>
      <c r="E523" s="180" t="s">
        <v>297</v>
      </c>
      <c r="F523" s="180" t="s">
        <v>297</v>
      </c>
    </row>
    <row r="524" spans="2:6" ht="13.2">
      <c r="B524" s="178">
        <v>608</v>
      </c>
      <c r="D524" s="180" t="s">
        <v>599</v>
      </c>
      <c r="E524" s="180" t="s">
        <v>1299</v>
      </c>
      <c r="F524" s="180" t="s">
        <v>1299</v>
      </c>
    </row>
    <row r="525" spans="2:6" ht="13.2">
      <c r="B525" s="178">
        <v>609</v>
      </c>
      <c r="D525" s="180" t="s">
        <v>598</v>
      </c>
      <c r="E525" s="180" t="s">
        <v>1300</v>
      </c>
      <c r="F525" s="180" t="s">
        <v>1300</v>
      </c>
    </row>
    <row r="526" spans="2:6">
      <c r="B526" s="178">
        <v>610</v>
      </c>
      <c r="D526" s="180" t="s">
        <v>407</v>
      </c>
      <c r="F526" s="180"/>
    </row>
    <row r="527" spans="2:6" ht="13.2">
      <c r="B527" s="178">
        <v>611</v>
      </c>
      <c r="D527" s="180" t="s">
        <v>298</v>
      </c>
      <c r="E527" s="180" t="s">
        <v>1301</v>
      </c>
      <c r="F527" s="180" t="s">
        <v>1301</v>
      </c>
    </row>
    <row r="528" spans="2:6" ht="13.2">
      <c r="B528" s="178">
        <v>612</v>
      </c>
      <c r="C528" s="179" t="s">
        <v>488</v>
      </c>
      <c r="D528" s="180" t="s">
        <v>490</v>
      </c>
      <c r="E528" s="180" t="s">
        <v>1302</v>
      </c>
      <c r="F528" s="180" t="s">
        <v>1302</v>
      </c>
    </row>
    <row r="529" spans="2:6" ht="13.2">
      <c r="B529" s="178">
        <v>613</v>
      </c>
      <c r="D529" s="180" t="s">
        <v>408</v>
      </c>
      <c r="E529" s="180" t="s">
        <v>1303</v>
      </c>
      <c r="F529" s="180" t="s">
        <v>1303</v>
      </c>
    </row>
    <row r="530" spans="2:6" ht="13.2">
      <c r="B530" s="178">
        <v>614</v>
      </c>
      <c r="D530" s="180" t="s">
        <v>409</v>
      </c>
      <c r="E530" s="180" t="s">
        <v>1304</v>
      </c>
      <c r="F530" s="180" t="s">
        <v>1304</v>
      </c>
    </row>
    <row r="531" spans="2:6" ht="13.2">
      <c r="B531" s="178">
        <v>615</v>
      </c>
      <c r="D531" s="180" t="s">
        <v>410</v>
      </c>
      <c r="E531" s="180" t="s">
        <v>1303</v>
      </c>
      <c r="F531" s="180" t="s">
        <v>1303</v>
      </c>
    </row>
    <row r="532" spans="2:6" ht="13.2">
      <c r="B532" s="178">
        <v>616</v>
      </c>
      <c r="D532" s="180" t="s">
        <v>299</v>
      </c>
      <c r="E532" s="180" t="s">
        <v>1305</v>
      </c>
      <c r="F532" s="180" t="s">
        <v>1305</v>
      </c>
    </row>
    <row r="533" spans="2:6" ht="13.2">
      <c r="B533" s="178">
        <v>617</v>
      </c>
      <c r="D533" s="180" t="s">
        <v>300</v>
      </c>
      <c r="E533" s="180" t="s">
        <v>1306</v>
      </c>
      <c r="F533" s="180" t="s">
        <v>1306</v>
      </c>
    </row>
    <row r="534" spans="2:6" ht="13.2">
      <c r="B534" s="178">
        <v>618</v>
      </c>
      <c r="D534" s="180" t="s">
        <v>301</v>
      </c>
      <c r="E534" s="180" t="s">
        <v>1307</v>
      </c>
      <c r="F534" s="180" t="s">
        <v>1307</v>
      </c>
    </row>
    <row r="535" spans="2:6" ht="13.2">
      <c r="B535" s="178">
        <v>619</v>
      </c>
      <c r="D535" s="180" t="s">
        <v>622</v>
      </c>
      <c r="E535" s="180" t="s">
        <v>1308</v>
      </c>
      <c r="F535" s="180" t="s">
        <v>1308</v>
      </c>
    </row>
    <row r="536" spans="2:6" ht="13.2">
      <c r="B536" s="178">
        <v>620</v>
      </c>
      <c r="D536" s="180" t="s">
        <v>621</v>
      </c>
      <c r="E536" s="180" t="s">
        <v>1309</v>
      </c>
      <c r="F536" s="180" t="s">
        <v>1309</v>
      </c>
    </row>
    <row r="537" spans="2:6" ht="24">
      <c r="B537" s="178">
        <v>621</v>
      </c>
      <c r="C537" s="179" t="s">
        <v>547</v>
      </c>
      <c r="D537" s="180" t="s">
        <v>557</v>
      </c>
      <c r="E537" s="180" t="s">
        <v>1310</v>
      </c>
      <c r="F537" s="180" t="s">
        <v>1310</v>
      </c>
    </row>
    <row r="538" spans="2:6" ht="36">
      <c r="B538" s="178">
        <v>622</v>
      </c>
      <c r="C538" s="179" t="s">
        <v>547</v>
      </c>
      <c r="D538" s="180" t="s">
        <v>572</v>
      </c>
      <c r="E538" s="180" t="s">
        <v>1311</v>
      </c>
      <c r="F538" s="180" t="s">
        <v>1311</v>
      </c>
    </row>
    <row r="539" spans="2:6" ht="13.2">
      <c r="B539" s="178">
        <v>623</v>
      </c>
      <c r="D539" s="180" t="s">
        <v>302</v>
      </c>
      <c r="E539" s="180" t="s">
        <v>1312</v>
      </c>
      <c r="F539" s="180" t="s">
        <v>1312</v>
      </c>
    </row>
    <row r="540" spans="2:6" ht="13.2">
      <c r="B540" s="178">
        <v>624</v>
      </c>
      <c r="D540" s="180" t="s">
        <v>600</v>
      </c>
      <c r="E540" s="180" t="s">
        <v>1313</v>
      </c>
      <c r="F540" s="180" t="s">
        <v>1313</v>
      </c>
    </row>
    <row r="541" spans="2:6">
      <c r="B541" s="178">
        <v>625</v>
      </c>
      <c r="D541" s="180" t="s">
        <v>542</v>
      </c>
      <c r="E541" s="180" t="s">
        <v>542</v>
      </c>
      <c r="F541" s="180" t="s">
        <v>542</v>
      </c>
    </row>
    <row r="542" spans="2:6">
      <c r="B542" s="178">
        <v>626</v>
      </c>
      <c r="D542" s="180" t="s">
        <v>303</v>
      </c>
      <c r="F542" s="180"/>
    </row>
    <row r="543" spans="2:6">
      <c r="B543" s="178">
        <v>627</v>
      </c>
      <c r="D543" s="180" t="s">
        <v>304</v>
      </c>
      <c r="F543" s="180"/>
    </row>
    <row r="544" spans="2:6">
      <c r="B544" s="178">
        <v>628</v>
      </c>
      <c r="D544" s="180" t="s">
        <v>540</v>
      </c>
      <c r="E544" s="180" t="s">
        <v>541</v>
      </c>
      <c r="F544" s="180" t="s">
        <v>541</v>
      </c>
    </row>
    <row r="545" spans="1:6" ht="13.2">
      <c r="B545" s="178">
        <v>629</v>
      </c>
      <c r="D545" s="180" t="s">
        <v>305</v>
      </c>
      <c r="E545" s="180" t="s">
        <v>1314</v>
      </c>
      <c r="F545" s="180" t="s">
        <v>1314</v>
      </c>
    </row>
    <row r="546" spans="1:6" ht="13.2">
      <c r="B546" s="178">
        <v>630</v>
      </c>
      <c r="D546" s="180" t="s">
        <v>411</v>
      </c>
      <c r="E546" s="180" t="s">
        <v>1315</v>
      </c>
      <c r="F546" s="180" t="s">
        <v>1315</v>
      </c>
    </row>
    <row r="547" spans="1:6" ht="13.2">
      <c r="B547" s="178">
        <v>631</v>
      </c>
      <c r="D547" s="180" t="s">
        <v>306</v>
      </c>
      <c r="E547" s="180" t="s">
        <v>1316</v>
      </c>
      <c r="F547" s="180" t="s">
        <v>1316</v>
      </c>
    </row>
    <row r="548" spans="1:6" ht="13.2">
      <c r="B548" s="178">
        <v>632</v>
      </c>
      <c r="D548" s="180" t="s">
        <v>340</v>
      </c>
      <c r="E548" s="180" t="s">
        <v>1317</v>
      </c>
      <c r="F548" s="180" t="s">
        <v>1317</v>
      </c>
    </row>
    <row r="549" spans="1:6" ht="13.2">
      <c r="B549" s="178">
        <v>633</v>
      </c>
      <c r="D549" s="180" t="s">
        <v>307</v>
      </c>
      <c r="E549" s="180" t="s">
        <v>1316</v>
      </c>
      <c r="F549" s="180" t="s">
        <v>1316</v>
      </c>
    </row>
    <row r="550" spans="1:6" ht="26.4">
      <c r="A550" s="181"/>
      <c r="B550" s="178">
        <v>634</v>
      </c>
      <c r="C550" s="181"/>
      <c r="D550" s="181" t="s">
        <v>447</v>
      </c>
      <c r="E550" s="181" t="s">
        <v>1318</v>
      </c>
      <c r="F550" s="181" t="s">
        <v>1318</v>
      </c>
    </row>
    <row r="551" spans="1:6" ht="13.2">
      <c r="B551" s="178">
        <v>635</v>
      </c>
      <c r="C551" s="179" t="s">
        <v>547</v>
      </c>
      <c r="D551" s="180" t="s">
        <v>554</v>
      </c>
      <c r="E551" s="180" t="s">
        <v>1319</v>
      </c>
      <c r="F551" s="180" t="s">
        <v>1319</v>
      </c>
    </row>
    <row r="552" spans="1:6" ht="13.2">
      <c r="B552" s="178">
        <v>636</v>
      </c>
      <c r="C552" s="179" t="s">
        <v>547</v>
      </c>
      <c r="D552" s="180" t="s">
        <v>649</v>
      </c>
      <c r="E552" s="180" t="s">
        <v>1320</v>
      </c>
      <c r="F552" s="180" t="s">
        <v>1320</v>
      </c>
    </row>
    <row r="553" spans="1:6">
      <c r="B553" s="178">
        <v>637</v>
      </c>
      <c r="D553" s="180" t="s">
        <v>308</v>
      </c>
      <c r="E553" s="180" t="s">
        <v>308</v>
      </c>
      <c r="F553" s="180" t="s">
        <v>308</v>
      </c>
    </row>
    <row r="554" spans="1:6" ht="13.2">
      <c r="B554" s="178">
        <v>638</v>
      </c>
      <c r="D554" s="180" t="s">
        <v>309</v>
      </c>
      <c r="E554" s="180" t="s">
        <v>1321</v>
      </c>
      <c r="F554" s="180" t="s">
        <v>1321</v>
      </c>
    </row>
    <row r="555" spans="1:6" ht="13.2">
      <c r="B555" s="178">
        <v>639</v>
      </c>
      <c r="D555" s="180" t="s">
        <v>310</v>
      </c>
      <c r="E555" s="180" t="s">
        <v>1322</v>
      </c>
      <c r="F555" s="180" t="s">
        <v>1322</v>
      </c>
    </row>
    <row r="556" spans="1:6" ht="13.2">
      <c r="B556" s="178">
        <v>640</v>
      </c>
      <c r="D556" s="180" t="s">
        <v>412</v>
      </c>
      <c r="E556" s="180" t="s">
        <v>1323</v>
      </c>
      <c r="F556" s="180" t="s">
        <v>1323</v>
      </c>
    </row>
    <row r="557" spans="1:6" ht="24">
      <c r="B557" s="178">
        <v>641</v>
      </c>
      <c r="C557" s="179" t="s">
        <v>547</v>
      </c>
      <c r="D557" s="180" t="s">
        <v>573</v>
      </c>
      <c r="E557" s="180" t="s">
        <v>1324</v>
      </c>
      <c r="F557" s="180" t="s">
        <v>1324</v>
      </c>
    </row>
    <row r="558" spans="1:6" ht="13.2">
      <c r="B558" s="178">
        <v>642</v>
      </c>
      <c r="D558" s="180" t="s">
        <v>311</v>
      </c>
      <c r="E558" s="180" t="s">
        <v>1325</v>
      </c>
      <c r="F558" s="180" t="s">
        <v>1325</v>
      </c>
    </row>
    <row r="559" spans="1:6" ht="39.6">
      <c r="B559" s="178">
        <v>643</v>
      </c>
      <c r="C559" s="179" t="s">
        <v>547</v>
      </c>
      <c r="D559" s="180" t="s">
        <v>580</v>
      </c>
      <c r="E559" s="180" t="s">
        <v>1326</v>
      </c>
      <c r="F559" s="180" t="s">
        <v>1326</v>
      </c>
    </row>
    <row r="560" spans="1:6" ht="13.2">
      <c r="B560" s="178">
        <v>644</v>
      </c>
      <c r="D560" s="180" t="s">
        <v>312</v>
      </c>
      <c r="E560" s="180" t="s">
        <v>1327</v>
      </c>
      <c r="F560" s="180" t="s">
        <v>1327</v>
      </c>
    </row>
    <row r="561" spans="2:27" ht="13.2">
      <c r="B561" s="178">
        <v>645</v>
      </c>
      <c r="D561" s="180" t="s">
        <v>313</v>
      </c>
      <c r="E561" s="180" t="s">
        <v>1328</v>
      </c>
      <c r="F561" s="180" t="s">
        <v>1328</v>
      </c>
    </row>
    <row r="562" spans="2:27" ht="13.2">
      <c r="B562" s="178">
        <v>646</v>
      </c>
      <c r="D562" s="180" t="s">
        <v>413</v>
      </c>
      <c r="E562" s="180" t="s">
        <v>1329</v>
      </c>
      <c r="F562" s="180" t="s">
        <v>1329</v>
      </c>
    </row>
    <row r="563" spans="2:27" ht="26.4">
      <c r="B563" s="178">
        <v>647</v>
      </c>
      <c r="D563" s="180" t="s">
        <v>314</v>
      </c>
      <c r="E563" s="180" t="s">
        <v>1330</v>
      </c>
      <c r="F563" s="180" t="s">
        <v>1330</v>
      </c>
    </row>
    <row r="564" spans="2:27" ht="13.2">
      <c r="B564" s="178">
        <v>648</v>
      </c>
      <c r="D564" s="180" t="s">
        <v>315</v>
      </c>
      <c r="E564" s="180" t="s">
        <v>1328</v>
      </c>
      <c r="F564" s="180" t="s">
        <v>1328</v>
      </c>
    </row>
    <row r="565" spans="2:27" ht="13.2">
      <c r="B565" s="178">
        <v>649</v>
      </c>
      <c r="D565" s="180" t="s">
        <v>316</v>
      </c>
      <c r="E565" s="180" t="s">
        <v>1331</v>
      </c>
      <c r="F565" s="180" t="s">
        <v>1331</v>
      </c>
    </row>
    <row r="566" spans="2:27" ht="13.2">
      <c r="B566" s="178">
        <v>650</v>
      </c>
      <c r="D566" s="180" t="s">
        <v>317</v>
      </c>
      <c r="E566" s="180" t="s">
        <v>1332</v>
      </c>
      <c r="F566" s="180" t="s">
        <v>1332</v>
      </c>
    </row>
    <row r="567" spans="2:27" ht="13.2">
      <c r="B567" s="178">
        <v>651</v>
      </c>
      <c r="D567" s="180" t="s">
        <v>318</v>
      </c>
      <c r="E567" s="180" t="s">
        <v>1333</v>
      </c>
      <c r="F567" s="180" t="s">
        <v>1333</v>
      </c>
    </row>
    <row r="568" spans="2:27" ht="13.2">
      <c r="B568" s="178">
        <v>652</v>
      </c>
      <c r="D568" s="180" t="s">
        <v>319</v>
      </c>
      <c r="E568" s="180" t="s">
        <v>1334</v>
      </c>
      <c r="F568" s="180" t="s">
        <v>1334</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1335</v>
      </c>
      <c r="F569" s="180" t="s">
        <v>1335</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1327</v>
      </c>
      <c r="F570" s="180" t="s">
        <v>1327</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547</v>
      </c>
      <c r="D571" s="180" t="s">
        <v>574</v>
      </c>
      <c r="E571" s="180" t="s">
        <v>1336</v>
      </c>
      <c r="F571" s="180" t="s">
        <v>1336</v>
      </c>
    </row>
    <row r="572" spans="2:27" ht="26.4">
      <c r="B572" s="178">
        <v>656</v>
      </c>
      <c r="D572" s="180" t="s">
        <v>322</v>
      </c>
      <c r="E572" s="180" t="s">
        <v>1337</v>
      </c>
      <c r="F572" s="180" t="s">
        <v>1337</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1338</v>
      </c>
      <c r="F573" s="180" t="s">
        <v>1338</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1339</v>
      </c>
      <c r="F574" s="180" t="s">
        <v>1339</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1340</v>
      </c>
      <c r="F575" s="180" t="s">
        <v>1340</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1341</v>
      </c>
      <c r="F576" s="180" t="s">
        <v>1341</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1342</v>
      </c>
      <c r="F577" s="180" t="s">
        <v>1342</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1343</v>
      </c>
      <c r="F578" s="180" t="s">
        <v>1343</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1344</v>
      </c>
      <c r="F579" s="180" t="s">
        <v>1344</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1345</v>
      </c>
      <c r="F580" s="180" t="s">
        <v>1345</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1346</v>
      </c>
      <c r="F581" s="180" t="s">
        <v>1346</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657</v>
      </c>
      <c r="E582" s="180" t="s">
        <v>1347</v>
      </c>
      <c r="F582" s="180" t="s">
        <v>1347</v>
      </c>
    </row>
    <row r="583" spans="2:27" ht="13.2">
      <c r="B583" s="178">
        <v>667</v>
      </c>
      <c r="D583" s="180" t="s">
        <v>658</v>
      </c>
      <c r="E583" s="180" t="s">
        <v>1348</v>
      </c>
      <c r="F583" s="180" t="s">
        <v>1348</v>
      </c>
    </row>
    <row r="584" spans="2:27" ht="13.2">
      <c r="B584" s="178">
        <v>668</v>
      </c>
      <c r="D584" s="180" t="s">
        <v>650</v>
      </c>
      <c r="E584" s="180" t="s">
        <v>1349</v>
      </c>
      <c r="F584" s="180" t="s">
        <v>1349</v>
      </c>
    </row>
    <row r="585" spans="2:27" ht="13.2">
      <c r="B585" s="178">
        <v>669</v>
      </c>
      <c r="D585" s="180" t="s">
        <v>656</v>
      </c>
      <c r="E585" s="180" t="s">
        <v>1350</v>
      </c>
      <c r="F585" s="180" t="s">
        <v>1350</v>
      </c>
    </row>
    <row r="586" spans="2:27" ht="13.2">
      <c r="B586" s="178">
        <v>670</v>
      </c>
      <c r="D586" s="180" t="s">
        <v>653</v>
      </c>
      <c r="E586" s="180" t="s">
        <v>1351</v>
      </c>
      <c r="F586" s="180" t="s">
        <v>1351</v>
      </c>
    </row>
    <row r="587" spans="2:27" ht="13.2">
      <c r="B587" s="178">
        <v>671</v>
      </c>
      <c r="D587" s="180" t="s">
        <v>654</v>
      </c>
      <c r="E587" s="180" t="s">
        <v>1352</v>
      </c>
      <c r="F587" s="180" t="s">
        <v>1352</v>
      </c>
    </row>
    <row r="588" spans="2:27" ht="13.2">
      <c r="B588" s="178">
        <v>672</v>
      </c>
      <c r="D588" s="180" t="s">
        <v>655</v>
      </c>
      <c r="E588" s="180" t="s">
        <v>1353</v>
      </c>
      <c r="F588" s="180" t="s">
        <v>1353</v>
      </c>
    </row>
    <row r="589" spans="2:27" ht="13.2">
      <c r="B589" s="178">
        <v>673</v>
      </c>
      <c r="D589" s="180" t="s">
        <v>659</v>
      </c>
      <c r="E589" s="180" t="s">
        <v>1354</v>
      </c>
      <c r="F589" s="180" t="s">
        <v>1354</v>
      </c>
    </row>
    <row r="590" spans="2:27" ht="13.2">
      <c r="B590" s="178">
        <v>674</v>
      </c>
      <c r="D590" s="180" t="s">
        <v>743</v>
      </c>
      <c r="E590" s="180" t="s">
        <v>1355</v>
      </c>
      <c r="F590" s="180" t="s">
        <v>1355</v>
      </c>
    </row>
    <row r="591" spans="2:27" ht="13.2">
      <c r="B591" s="178">
        <v>675</v>
      </c>
      <c r="D591" s="180" t="s">
        <v>747</v>
      </c>
      <c r="E591" s="180" t="s">
        <v>1356</v>
      </c>
      <c r="F591" s="180" t="s">
        <v>1356</v>
      </c>
    </row>
    <row r="592" spans="2:27" ht="13.2">
      <c r="B592" s="178">
        <v>676</v>
      </c>
      <c r="D592" s="180" t="s">
        <v>748</v>
      </c>
      <c r="E592" s="180" t="s">
        <v>1357</v>
      </c>
      <c r="F592" s="180" t="s">
        <v>1357</v>
      </c>
    </row>
    <row r="593" spans="2:6" ht="13.2">
      <c r="B593" s="178">
        <v>677</v>
      </c>
      <c r="D593" s="180" t="s">
        <v>749</v>
      </c>
      <c r="E593" s="180" t="s">
        <v>1358</v>
      </c>
      <c r="F593" s="177" t="s">
        <v>1358</v>
      </c>
    </row>
    <row r="594" spans="2:6" ht="13.2">
      <c r="B594" s="178">
        <v>678</v>
      </c>
      <c r="D594" s="180" t="s">
        <v>750</v>
      </c>
      <c r="E594" s="180" t="s">
        <v>1359</v>
      </c>
      <c r="F594" s="180" t="s">
        <v>1359</v>
      </c>
    </row>
    <row r="595" spans="2:6" ht="13.2">
      <c r="B595" s="178">
        <v>679</v>
      </c>
      <c r="D595" s="180" t="s">
        <v>1360</v>
      </c>
      <c r="E595" s="180" t="s">
        <v>1361</v>
      </c>
      <c r="F595" s="180" t="s">
        <v>1361</v>
      </c>
    </row>
    <row r="596" spans="2:6" ht="13.2">
      <c r="B596" s="178">
        <v>680</v>
      </c>
      <c r="D596" s="180" t="s">
        <v>1362</v>
      </c>
      <c r="E596" s="195" t="s">
        <v>1364</v>
      </c>
      <c r="F596" s="195" t="s">
        <v>1364</v>
      </c>
    </row>
    <row r="597" spans="2:6" ht="13.2">
      <c r="B597" s="178">
        <v>681</v>
      </c>
      <c r="D597" s="180" t="s">
        <v>1363</v>
      </c>
      <c r="E597" s="195" t="s">
        <v>1365</v>
      </c>
      <c r="F597" s="195" t="s">
        <v>1365</v>
      </c>
    </row>
    <row r="598" spans="2:6">
      <c r="B598" s="178">
        <v>682</v>
      </c>
      <c r="D598" s="180" t="s">
        <v>1379</v>
      </c>
      <c r="E598" s="201" t="s">
        <v>1380</v>
      </c>
      <c r="F598" s="201" t="s">
        <v>1380</v>
      </c>
    </row>
    <row r="599" spans="2:6">
      <c r="B599" s="178">
        <v>683</v>
      </c>
      <c r="D599" s="180" t="s">
        <v>1381</v>
      </c>
      <c r="E599" s="201" t="s">
        <v>1384</v>
      </c>
      <c r="F599" s="201" t="s">
        <v>1384</v>
      </c>
    </row>
    <row r="600" spans="2:6">
      <c r="B600" s="178">
        <v>684</v>
      </c>
      <c r="D600" s="180" t="s">
        <v>1382</v>
      </c>
      <c r="E600" s="180" t="s">
        <v>1383</v>
      </c>
      <c r="F600" s="180"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1573</v>
      </c>
      <c r="B2" s="105" t="s">
        <v>1484</v>
      </c>
      <c r="C2" s="105" t="s">
        <v>499</v>
      </c>
      <c r="D2" s="105" t="s">
        <v>545</v>
      </c>
      <c r="E2" s="105" t="s">
        <v>1484</v>
      </c>
      <c r="M2" s="105" t="s">
        <v>1495</v>
      </c>
      <c r="N2" s="105" t="s">
        <v>1486</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1573</v>
      </c>
      <c r="B3" s="105" t="s">
        <v>1484</v>
      </c>
      <c r="C3" s="105" t="s">
        <v>499</v>
      </c>
      <c r="D3" s="105" t="s">
        <v>545</v>
      </c>
      <c r="E3" s="105" t="s">
        <v>1484</v>
      </c>
      <c r="M3" s="105" t="s">
        <v>1495</v>
      </c>
      <c r="N3" s="105" t="s">
        <v>1574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1575</v>
      </c>
      <c r="B4" s="105" t="s">
        <v>1501</v>
      </c>
      <c r="C4" s="105" t="s">
        <v>499</v>
      </c>
      <c r="D4" s="105" t="s">
        <v>545</v>
      </c>
      <c r="E4" s="105" t="s">
        <v>1485</v>
      </c>
      <c r="F4" s="105" t="s">
        <v>1501</v>
      </c>
      <c r="M4" s="105" t="s">
        <v>1502</v>
      </c>
      <c r="N4" s="105" t="s">
        <v>1486</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1575</v>
      </c>
      <c r="B5" s="105" t="s">
        <v>1501</v>
      </c>
      <c r="C5" s="105" t="s">
        <v>499</v>
      </c>
      <c r="D5" s="105" t="s">
        <v>545</v>
      </c>
      <c r="E5" s="105" t="s">
        <v>1485</v>
      </c>
      <c r="F5" s="105" t="s">
        <v>1501</v>
      </c>
      <c r="M5" s="105" t="s">
        <v>1502</v>
      </c>
      <c r="N5" s="105" t="s">
        <v>1486</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1575</v>
      </c>
      <c r="B6" s="105" t="s">
        <v>1503</v>
      </c>
      <c r="C6" s="105" t="s">
        <v>499</v>
      </c>
      <c r="D6" s="105" t="s">
        <v>545</v>
      </c>
      <c r="E6" s="105" t="s">
        <v>1485</v>
      </c>
      <c r="F6" s="105" t="s">
        <v>1503</v>
      </c>
      <c r="M6" s="105" t="s">
        <v>1504</v>
      </c>
      <c r="N6" s="105" t="s">
        <v>1486</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1573</v>
      </c>
      <c r="B7" s="105" t="s">
        <v>1487</v>
      </c>
      <c r="C7" s="105" t="s">
        <v>499</v>
      </c>
      <c r="D7" s="105" t="s">
        <v>1493</v>
      </c>
      <c r="E7" s="105" t="s">
        <v>1487</v>
      </c>
      <c r="M7" s="105" t="s">
        <v>1505</v>
      </c>
      <c r="N7" s="105" t="s">
        <v>1576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1573</v>
      </c>
      <c r="B8" s="105" t="s">
        <v>1487</v>
      </c>
      <c r="C8" s="105" t="s">
        <v>499</v>
      </c>
      <c r="D8" s="105" t="s">
        <v>1493</v>
      </c>
      <c r="E8" s="105" t="s">
        <v>1487</v>
      </c>
      <c r="M8" s="105" t="s">
        <v>1505</v>
      </c>
      <c r="N8" s="105" t="s">
        <v>1576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1573</v>
      </c>
      <c r="B9" s="105" t="s">
        <v>1488</v>
      </c>
      <c r="C9" s="105" t="s">
        <v>499</v>
      </c>
      <c r="D9" s="105" t="s">
        <v>1493</v>
      </c>
      <c r="E9" s="105" t="s">
        <v>1488</v>
      </c>
      <c r="M9" s="105" t="s">
        <v>1506</v>
      </c>
      <c r="N9" s="105" t="s">
        <v>1576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1573</v>
      </c>
      <c r="B10" s="105" t="s">
        <v>1507</v>
      </c>
      <c r="C10" s="105" t="s">
        <v>499</v>
      </c>
      <c r="D10" s="105" t="s">
        <v>1493</v>
      </c>
      <c r="E10" s="105" t="s">
        <v>1507</v>
      </c>
      <c r="M10" s="105" t="s">
        <v>1508</v>
      </c>
      <c r="N10" s="105" t="s">
        <v>1576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1573</v>
      </c>
      <c r="B11" s="105" t="s">
        <v>1507</v>
      </c>
      <c r="C11" s="105" t="s">
        <v>499</v>
      </c>
      <c r="D11" s="105" t="s">
        <v>1493</v>
      </c>
      <c r="E11" s="105" t="s">
        <v>1507</v>
      </c>
      <c r="M11" s="105" t="s">
        <v>1508</v>
      </c>
      <c r="N11" s="105" t="s">
        <v>1576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1573</v>
      </c>
      <c r="B12" s="105" t="s">
        <v>1507</v>
      </c>
      <c r="C12" s="105" t="s">
        <v>499</v>
      </c>
      <c r="D12" s="105" t="s">
        <v>1493</v>
      </c>
      <c r="E12" s="105" t="s">
        <v>1507</v>
      </c>
      <c r="M12" s="105" t="s">
        <v>1508</v>
      </c>
      <c r="N12" s="105" t="s">
        <v>1576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1573</v>
      </c>
      <c r="B13" s="105" t="s">
        <v>1507</v>
      </c>
      <c r="C13" s="105" t="s">
        <v>499</v>
      </c>
      <c r="D13" s="105" t="s">
        <v>1493</v>
      </c>
      <c r="E13" s="105" t="s">
        <v>1507</v>
      </c>
      <c r="M13" s="105" t="s">
        <v>1508</v>
      </c>
      <c r="N13" s="105" t="s">
        <v>1576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1573</v>
      </c>
      <c r="B14" s="105" t="s">
        <v>1509</v>
      </c>
      <c r="C14" s="105" t="s">
        <v>499</v>
      </c>
      <c r="D14" s="105" t="s">
        <v>1493</v>
      </c>
      <c r="E14" s="105" t="s">
        <v>1509</v>
      </c>
      <c r="M14" s="105" t="s">
        <v>1510</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1573</v>
      </c>
      <c r="B15" s="105" t="s">
        <v>1489</v>
      </c>
      <c r="C15" s="105" t="s">
        <v>499</v>
      </c>
      <c r="D15" s="105" t="s">
        <v>1494</v>
      </c>
      <c r="E15" s="105" t="s">
        <v>1489</v>
      </c>
      <c r="M15" s="105" t="s">
        <v>1511</v>
      </c>
      <c r="N15" s="105" t="s">
        <v>1574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1573</v>
      </c>
      <c r="B16" s="105" t="s">
        <v>1489</v>
      </c>
      <c r="C16" s="105" t="s">
        <v>499</v>
      </c>
      <c r="D16" s="105" t="s">
        <v>1494</v>
      </c>
      <c r="E16" s="105" t="s">
        <v>1489</v>
      </c>
      <c r="M16" s="105" t="s">
        <v>1511</v>
      </c>
      <c r="N16" s="105" t="s">
        <v>1486</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1573</v>
      </c>
      <c r="B17" s="105" t="s">
        <v>1489</v>
      </c>
      <c r="C17" s="105" t="s">
        <v>499</v>
      </c>
      <c r="D17" s="105" t="s">
        <v>1494</v>
      </c>
      <c r="E17" s="105" t="s">
        <v>1489</v>
      </c>
      <c r="M17" s="105" t="s">
        <v>1511</v>
      </c>
      <c r="N17" s="105" t="s">
        <v>1574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1573</v>
      </c>
      <c r="B18" s="105" t="s">
        <v>1489</v>
      </c>
      <c r="C18" s="105" t="s">
        <v>499</v>
      </c>
      <c r="D18" s="105" t="s">
        <v>1494</v>
      </c>
      <c r="E18" s="105" t="s">
        <v>1489</v>
      </c>
      <c r="M18" s="105" t="s">
        <v>1511</v>
      </c>
      <c r="N18" s="105" t="s">
        <v>1486</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1573</v>
      </c>
      <c r="B19" s="105" t="s">
        <v>1490</v>
      </c>
      <c r="C19" s="105" t="s">
        <v>499</v>
      </c>
      <c r="D19" s="105" t="s">
        <v>1494</v>
      </c>
      <c r="E19" s="105" t="s">
        <v>1490</v>
      </c>
      <c r="M19" s="105" t="s">
        <v>1512</v>
      </c>
      <c r="N19" s="105" t="s">
        <v>1491</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1573</v>
      </c>
      <c r="B20" s="105" t="s">
        <v>1490</v>
      </c>
      <c r="C20" s="105" t="s">
        <v>499</v>
      </c>
      <c r="D20" s="105" t="s">
        <v>1494</v>
      </c>
      <c r="E20" s="105" t="s">
        <v>1490</v>
      </c>
      <c r="M20" s="105" t="s">
        <v>1512</v>
      </c>
      <c r="N20" s="105" t="s">
        <v>1491</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1573</v>
      </c>
      <c r="B21" s="105" t="s">
        <v>1513</v>
      </c>
      <c r="C21" s="105" t="s">
        <v>499</v>
      </c>
      <c r="D21" s="105" t="s">
        <v>1494</v>
      </c>
      <c r="E21" s="105" t="s">
        <v>1513</v>
      </c>
      <c r="M21" s="105" t="s">
        <v>1514</v>
      </c>
      <c r="N21" s="105" t="s">
        <v>1577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1573</v>
      </c>
      <c r="B22" s="105" t="s">
        <v>1513</v>
      </c>
      <c r="C22" s="105" t="s">
        <v>499</v>
      </c>
      <c r="D22" s="105" t="s">
        <v>1494</v>
      </c>
      <c r="E22" s="105" t="s">
        <v>1513</v>
      </c>
      <c r="M22" s="105" t="s">
        <v>1514</v>
      </c>
      <c r="N22" s="105" t="s">
        <v>1578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1573</v>
      </c>
      <c r="B23" s="105" t="s">
        <v>1515</v>
      </c>
      <c r="C23" s="105" t="s">
        <v>499</v>
      </c>
      <c r="D23" s="105" t="s">
        <v>1494</v>
      </c>
      <c r="E23" s="105" t="s">
        <v>1515</v>
      </c>
      <c r="M23" s="105" t="s">
        <v>1516</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1573</v>
      </c>
      <c r="B24" s="105" t="s">
        <v>1497</v>
      </c>
      <c r="C24" s="105" t="s">
        <v>794</v>
      </c>
      <c r="D24" s="105" t="s">
        <v>1496</v>
      </c>
      <c r="E24" s="105" t="s">
        <v>1497</v>
      </c>
      <c r="M24" s="105" t="s">
        <v>1517</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1573</v>
      </c>
      <c r="B25" s="105" t="s">
        <v>1497</v>
      </c>
      <c r="C25" s="105" t="s">
        <v>794</v>
      </c>
      <c r="D25" s="105" t="s">
        <v>1496</v>
      </c>
      <c r="E25" s="105" t="s">
        <v>1497</v>
      </c>
      <c r="M25" s="105" t="s">
        <v>1517</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1573</v>
      </c>
      <c r="B26" s="105" t="s">
        <v>1497</v>
      </c>
      <c r="C26" s="105" t="s">
        <v>794</v>
      </c>
      <c r="D26" s="105" t="s">
        <v>1496</v>
      </c>
      <c r="E26" s="105" t="s">
        <v>1497</v>
      </c>
      <c r="M26" s="105" t="s">
        <v>1517</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1575</v>
      </c>
      <c r="B27" s="105" t="s">
        <v>1499</v>
      </c>
      <c r="C27" s="105" t="s">
        <v>794</v>
      </c>
      <c r="D27" s="105" t="s">
        <v>1496</v>
      </c>
      <c r="E27" s="105" t="s">
        <v>1498</v>
      </c>
      <c r="F27" s="105" t="s">
        <v>1499</v>
      </c>
      <c r="M27" s="105" t="s">
        <v>1518</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1575</v>
      </c>
      <c r="B28" s="105" t="s">
        <v>1499</v>
      </c>
      <c r="C28" s="105" t="s">
        <v>794</v>
      </c>
      <c r="D28" s="105" t="s">
        <v>1496</v>
      </c>
      <c r="E28" s="105" t="s">
        <v>1498</v>
      </c>
      <c r="F28" s="105" t="s">
        <v>1499</v>
      </c>
      <c r="M28" s="105" t="s">
        <v>1518</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1575</v>
      </c>
      <c r="B29" s="105" t="s">
        <v>1500</v>
      </c>
      <c r="C29" s="105" t="s">
        <v>794</v>
      </c>
      <c r="D29" s="105" t="s">
        <v>1496</v>
      </c>
      <c r="E29" s="105" t="s">
        <v>1498</v>
      </c>
      <c r="F29" s="105" t="s">
        <v>1500</v>
      </c>
      <c r="M29" s="105" t="s">
        <v>1519</v>
      </c>
      <c r="N29" s="105" t="s">
        <v>1579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1575</v>
      </c>
      <c r="B30" s="105" t="s">
        <v>1500</v>
      </c>
      <c r="C30" s="105" t="s">
        <v>794</v>
      </c>
      <c r="D30" s="105" t="s">
        <v>1496</v>
      </c>
      <c r="E30" s="105" t="s">
        <v>1498</v>
      </c>
      <c r="F30" s="105" t="s">
        <v>1500</v>
      </c>
      <c r="M30" s="105" t="s">
        <v>1519</v>
      </c>
      <c r="N30" s="105" t="s">
        <v>1486</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1575</v>
      </c>
      <c r="B31" s="105" t="s">
        <v>1500</v>
      </c>
      <c r="C31" s="105" t="s">
        <v>794</v>
      </c>
      <c r="D31" s="105" t="s">
        <v>1496</v>
      </c>
      <c r="E31" s="105" t="s">
        <v>1498</v>
      </c>
      <c r="F31" s="105" t="s">
        <v>1500</v>
      </c>
      <c r="M31" s="105" t="s">
        <v>1519</v>
      </c>
      <c r="N31" s="105" t="s">
        <v>1579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1575</v>
      </c>
      <c r="B32" s="105" t="s">
        <v>1500</v>
      </c>
      <c r="C32" s="105" t="s">
        <v>794</v>
      </c>
      <c r="D32" s="105" t="s">
        <v>1496</v>
      </c>
      <c r="E32" s="105" t="s">
        <v>1498</v>
      </c>
      <c r="F32" s="105" t="s">
        <v>1500</v>
      </c>
      <c r="M32" s="105" t="s">
        <v>1519</v>
      </c>
      <c r="N32" s="105" t="s">
        <v>1486</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1573</v>
      </c>
      <c r="B33" s="105" t="s">
        <v>1520</v>
      </c>
      <c r="C33" s="105" t="s">
        <v>794</v>
      </c>
      <c r="D33" s="105" t="s">
        <v>1565</v>
      </c>
      <c r="E33" s="105" t="s">
        <v>1520</v>
      </c>
      <c r="M33" s="105" t="s">
        <v>1521</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1573</v>
      </c>
      <c r="B34" s="105" t="s">
        <v>1520</v>
      </c>
      <c r="C34" s="105" t="s">
        <v>794</v>
      </c>
      <c r="D34" s="105" t="s">
        <v>1565</v>
      </c>
      <c r="E34" s="105" t="s">
        <v>1520</v>
      </c>
      <c r="M34" s="105" t="s">
        <v>1521</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1573</v>
      </c>
      <c r="B35" s="105" t="s">
        <v>1520</v>
      </c>
      <c r="C35" s="105" t="s">
        <v>794</v>
      </c>
      <c r="D35" s="105" t="s">
        <v>1565</v>
      </c>
      <c r="E35" s="105" t="s">
        <v>1520</v>
      </c>
      <c r="M35" s="105" t="s">
        <v>1521</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1575</v>
      </c>
      <c r="B36" s="105" t="s">
        <v>1523</v>
      </c>
      <c r="C36" s="105" t="s">
        <v>794</v>
      </c>
      <c r="D36" s="105" t="s">
        <v>1565</v>
      </c>
      <c r="E36" s="105" t="s">
        <v>1522</v>
      </c>
      <c r="F36" s="105" t="s">
        <v>1523</v>
      </c>
      <c r="M36" s="105" t="s">
        <v>1524</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1575</v>
      </c>
      <c r="B37" s="105" t="s">
        <v>1523</v>
      </c>
      <c r="C37" s="105" t="s">
        <v>794</v>
      </c>
      <c r="D37" s="105" t="s">
        <v>1565</v>
      </c>
      <c r="E37" s="105" t="s">
        <v>1522</v>
      </c>
      <c r="F37" s="105" t="s">
        <v>1523</v>
      </c>
      <c r="M37" s="105" t="s">
        <v>1524</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1575</v>
      </c>
      <c r="B38" s="105" t="s">
        <v>1525</v>
      </c>
      <c r="C38" s="105" t="s">
        <v>794</v>
      </c>
      <c r="D38" s="105" t="s">
        <v>1565</v>
      </c>
      <c r="E38" s="105" t="s">
        <v>1522</v>
      </c>
      <c r="F38" s="105" t="s">
        <v>1525</v>
      </c>
      <c r="M38" s="105" t="s">
        <v>1526</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1575</v>
      </c>
      <c r="B39" s="105" t="s">
        <v>1525</v>
      </c>
      <c r="C39" s="105" t="s">
        <v>794</v>
      </c>
      <c r="D39" s="105" t="s">
        <v>1565</v>
      </c>
      <c r="E39" s="105" t="s">
        <v>1522</v>
      </c>
      <c r="F39" s="105" t="s">
        <v>1525</v>
      </c>
      <c r="M39" s="105" t="s">
        <v>1526</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1575</v>
      </c>
      <c r="B40" s="105" t="s">
        <v>1527</v>
      </c>
      <c r="C40" s="105" t="s">
        <v>794</v>
      </c>
      <c r="D40" s="105" t="s">
        <v>1565</v>
      </c>
      <c r="E40" s="105" t="s">
        <v>1522</v>
      </c>
      <c r="F40" s="105" t="s">
        <v>1527</v>
      </c>
      <c r="M40" s="105" t="s">
        <v>1528</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1575</v>
      </c>
      <c r="B41" s="105" t="s">
        <v>1527</v>
      </c>
      <c r="C41" s="105" t="s">
        <v>794</v>
      </c>
      <c r="D41" s="105" t="s">
        <v>1565</v>
      </c>
      <c r="E41" s="105" t="s">
        <v>1522</v>
      </c>
      <c r="F41" s="105" t="s">
        <v>1527</v>
      </c>
      <c r="M41" s="105" t="s">
        <v>1528</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1575</v>
      </c>
      <c r="B42" s="105" t="s">
        <v>1527</v>
      </c>
      <c r="C42" s="105" t="s">
        <v>794</v>
      </c>
      <c r="D42" s="105" t="s">
        <v>1565</v>
      </c>
      <c r="E42" s="105" t="s">
        <v>1522</v>
      </c>
      <c r="F42" s="105" t="s">
        <v>1527</v>
      </c>
      <c r="M42" s="105" t="s">
        <v>1528</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1573</v>
      </c>
      <c r="B43" s="105" t="s">
        <v>1529</v>
      </c>
      <c r="C43" s="105" t="s">
        <v>794</v>
      </c>
      <c r="D43" s="105" t="s">
        <v>1565</v>
      </c>
      <c r="E43" s="105" t="s">
        <v>1529</v>
      </c>
      <c r="M43" s="105" t="s">
        <v>1530</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1575</v>
      </c>
      <c r="B44" s="105" t="s">
        <v>1532</v>
      </c>
      <c r="C44" s="105" t="s">
        <v>794</v>
      </c>
      <c r="D44" s="105" t="s">
        <v>1566</v>
      </c>
      <c r="E44" s="105" t="s">
        <v>1531</v>
      </c>
      <c r="F44" s="105" t="s">
        <v>1532</v>
      </c>
      <c r="M44" s="105" t="s">
        <v>1533</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1580</v>
      </c>
      <c r="B45" s="105" t="s">
        <v>1536</v>
      </c>
      <c r="C45" s="105" t="s">
        <v>794</v>
      </c>
      <c r="D45" s="105" t="s">
        <v>1566</v>
      </c>
      <c r="E45" s="105" t="s">
        <v>1531</v>
      </c>
      <c r="F45" s="105" t="s">
        <v>1534</v>
      </c>
      <c r="G45" s="105" t="s">
        <v>1535</v>
      </c>
      <c r="H45" s="105" t="s">
        <v>1536</v>
      </c>
      <c r="M45" s="105" t="s">
        <v>1537</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1580</v>
      </c>
      <c r="B46" s="105" t="s">
        <v>1536</v>
      </c>
      <c r="C46" s="105" t="s">
        <v>794</v>
      </c>
      <c r="D46" s="105" t="s">
        <v>1566</v>
      </c>
      <c r="E46" s="105" t="s">
        <v>1531</v>
      </c>
      <c r="F46" s="105" t="s">
        <v>1534</v>
      </c>
      <c r="G46" s="105" t="s">
        <v>1535</v>
      </c>
      <c r="H46" s="105" t="s">
        <v>1536</v>
      </c>
      <c r="M46" s="105" t="s">
        <v>1537</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1580</v>
      </c>
      <c r="B47" s="105" t="s">
        <v>1538</v>
      </c>
      <c r="C47" s="105" t="s">
        <v>794</v>
      </c>
      <c r="D47" s="105" t="s">
        <v>1566</v>
      </c>
      <c r="E47" s="105" t="s">
        <v>1531</v>
      </c>
      <c r="F47" s="105" t="s">
        <v>1534</v>
      </c>
      <c r="G47" s="105" t="s">
        <v>1535</v>
      </c>
      <c r="H47" s="105" t="s">
        <v>1538</v>
      </c>
      <c r="M47" s="105" t="s">
        <v>1539</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1580</v>
      </c>
      <c r="B48" s="105" t="s">
        <v>1538</v>
      </c>
      <c r="C48" s="105" t="s">
        <v>794</v>
      </c>
      <c r="D48" s="105" t="s">
        <v>1566</v>
      </c>
      <c r="E48" s="105" t="s">
        <v>1531</v>
      </c>
      <c r="F48" s="105" t="s">
        <v>1534</v>
      </c>
      <c r="G48" s="105" t="s">
        <v>1535</v>
      </c>
      <c r="H48" s="105" t="s">
        <v>1538</v>
      </c>
      <c r="M48" s="105" t="s">
        <v>1539</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1580</v>
      </c>
      <c r="B49" s="105" t="s">
        <v>1538</v>
      </c>
      <c r="C49" s="105" t="s">
        <v>794</v>
      </c>
      <c r="D49" s="105" t="s">
        <v>1566</v>
      </c>
      <c r="E49" s="105" t="s">
        <v>1531</v>
      </c>
      <c r="F49" s="105" t="s">
        <v>1534</v>
      </c>
      <c r="G49" s="105" t="s">
        <v>1535</v>
      </c>
      <c r="H49" s="105" t="s">
        <v>1538</v>
      </c>
      <c r="M49" s="105" t="s">
        <v>1539</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1580</v>
      </c>
      <c r="B50" s="105" t="s">
        <v>1538</v>
      </c>
      <c r="C50" s="105" t="s">
        <v>794</v>
      </c>
      <c r="D50" s="105" t="s">
        <v>1566</v>
      </c>
      <c r="E50" s="105" t="s">
        <v>1531</v>
      </c>
      <c r="F50" s="105" t="s">
        <v>1534</v>
      </c>
      <c r="G50" s="105" t="s">
        <v>1535</v>
      </c>
      <c r="H50" s="105" t="s">
        <v>1538</v>
      </c>
      <c r="M50" s="105" t="s">
        <v>1539</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1580</v>
      </c>
      <c r="B51" s="105" t="s">
        <v>1540</v>
      </c>
      <c r="C51" s="105" t="s">
        <v>794</v>
      </c>
      <c r="D51" s="105" t="s">
        <v>1566</v>
      </c>
      <c r="E51" s="105" t="s">
        <v>1531</v>
      </c>
      <c r="F51" s="105" t="s">
        <v>1534</v>
      </c>
      <c r="G51" s="105" t="s">
        <v>1535</v>
      </c>
      <c r="H51" s="105" t="s">
        <v>1540</v>
      </c>
      <c r="M51" s="105" t="s">
        <v>1541</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1580</v>
      </c>
      <c r="B52" s="105" t="s">
        <v>1540</v>
      </c>
      <c r="C52" s="105" t="s">
        <v>794</v>
      </c>
      <c r="D52" s="105" t="s">
        <v>1566</v>
      </c>
      <c r="E52" s="105" t="s">
        <v>1531</v>
      </c>
      <c r="F52" s="105" t="s">
        <v>1534</v>
      </c>
      <c r="G52" s="105" t="s">
        <v>1535</v>
      </c>
      <c r="H52" s="105" t="s">
        <v>1540</v>
      </c>
      <c r="M52" s="105" t="s">
        <v>1541</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1580</v>
      </c>
      <c r="B53" s="105" t="s">
        <v>1540</v>
      </c>
      <c r="C53" s="105" t="s">
        <v>794</v>
      </c>
      <c r="D53" s="105" t="s">
        <v>1566</v>
      </c>
      <c r="E53" s="105" t="s">
        <v>1531</v>
      </c>
      <c r="F53" s="105" t="s">
        <v>1534</v>
      </c>
      <c r="G53" s="105" t="s">
        <v>1535</v>
      </c>
      <c r="H53" s="105" t="s">
        <v>1540</v>
      </c>
      <c r="M53" s="105" t="s">
        <v>1541</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1581</v>
      </c>
      <c r="B54" s="105" t="s">
        <v>1542</v>
      </c>
      <c r="C54" s="105" t="s">
        <v>794</v>
      </c>
      <c r="D54" s="105" t="s">
        <v>1566</v>
      </c>
      <c r="E54" s="105" t="s">
        <v>1531</v>
      </c>
      <c r="F54" s="105" t="s">
        <v>1534</v>
      </c>
      <c r="G54" s="105" t="s">
        <v>1542</v>
      </c>
      <c r="M54" s="105" t="s">
        <v>1543</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1581</v>
      </c>
      <c r="B55" s="105" t="s">
        <v>1542</v>
      </c>
      <c r="C55" s="105" t="s">
        <v>794</v>
      </c>
      <c r="D55" s="105" t="s">
        <v>1566</v>
      </c>
      <c r="E55" s="105" t="s">
        <v>1531</v>
      </c>
      <c r="F55" s="105" t="s">
        <v>1534</v>
      </c>
      <c r="G55" s="105" t="s">
        <v>1542</v>
      </c>
      <c r="M55" s="105" t="s">
        <v>1543</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1581</v>
      </c>
      <c r="B56" s="105" t="s">
        <v>1542</v>
      </c>
      <c r="C56" s="105" t="s">
        <v>794</v>
      </c>
      <c r="D56" s="105" t="s">
        <v>1566</v>
      </c>
      <c r="E56" s="105" t="s">
        <v>1531</v>
      </c>
      <c r="F56" s="105" t="s">
        <v>1534</v>
      </c>
      <c r="G56" s="105" t="s">
        <v>1542</v>
      </c>
      <c r="M56" s="105" t="s">
        <v>1543</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1581</v>
      </c>
      <c r="B57" s="105" t="s">
        <v>1542</v>
      </c>
      <c r="C57" s="105" t="s">
        <v>794</v>
      </c>
      <c r="D57" s="105" t="s">
        <v>1566</v>
      </c>
      <c r="E57" s="105" t="s">
        <v>1531</v>
      </c>
      <c r="F57" s="105" t="s">
        <v>1534</v>
      </c>
      <c r="G57" s="105" t="s">
        <v>1542</v>
      </c>
      <c r="M57" s="105" t="s">
        <v>1543</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1581</v>
      </c>
      <c r="B58" s="105" t="s">
        <v>1542</v>
      </c>
      <c r="C58" s="105" t="s">
        <v>794</v>
      </c>
      <c r="D58" s="105" t="s">
        <v>1566</v>
      </c>
      <c r="E58" s="105" t="s">
        <v>1531</v>
      </c>
      <c r="F58" s="105" t="s">
        <v>1534</v>
      </c>
      <c r="G58" s="105" t="s">
        <v>1542</v>
      </c>
      <c r="M58" s="105" t="s">
        <v>1543</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1581</v>
      </c>
      <c r="B59" s="105" t="s">
        <v>1542</v>
      </c>
      <c r="C59" s="105" t="s">
        <v>794</v>
      </c>
      <c r="D59" s="105" t="s">
        <v>1566</v>
      </c>
      <c r="E59" s="105" t="s">
        <v>1531</v>
      </c>
      <c r="F59" s="105" t="s">
        <v>1534</v>
      </c>
      <c r="G59" s="105" t="s">
        <v>1542</v>
      </c>
      <c r="M59" s="105" t="s">
        <v>1543</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1581</v>
      </c>
      <c r="B60" s="105" t="s">
        <v>1542</v>
      </c>
      <c r="C60" s="105" t="s">
        <v>794</v>
      </c>
      <c r="D60" s="105" t="s">
        <v>1566</v>
      </c>
      <c r="E60" s="105" t="s">
        <v>1531</v>
      </c>
      <c r="F60" s="105" t="s">
        <v>1534</v>
      </c>
      <c r="G60" s="105" t="s">
        <v>1542</v>
      </c>
      <c r="M60" s="105" t="s">
        <v>1543</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1581</v>
      </c>
      <c r="B61" s="105" t="s">
        <v>1542</v>
      </c>
      <c r="C61" s="105" t="s">
        <v>794</v>
      </c>
      <c r="D61" s="105" t="s">
        <v>1566</v>
      </c>
      <c r="E61" s="105" t="s">
        <v>1531</v>
      </c>
      <c r="F61" s="105" t="s">
        <v>1534</v>
      </c>
      <c r="G61" s="105" t="s">
        <v>1542</v>
      </c>
      <c r="M61" s="105" t="s">
        <v>1543</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1581</v>
      </c>
      <c r="B62" s="105" t="s">
        <v>1542</v>
      </c>
      <c r="C62" s="105" t="s">
        <v>794</v>
      </c>
      <c r="D62" s="105" t="s">
        <v>1566</v>
      </c>
      <c r="E62" s="105" t="s">
        <v>1531</v>
      </c>
      <c r="F62" s="105" t="s">
        <v>1534</v>
      </c>
      <c r="G62" s="105" t="s">
        <v>1542</v>
      </c>
      <c r="M62" s="105" t="s">
        <v>1543</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1581</v>
      </c>
      <c r="B63" s="105" t="s">
        <v>1544</v>
      </c>
      <c r="C63" s="105" t="s">
        <v>794</v>
      </c>
      <c r="D63" s="105" t="s">
        <v>1566</v>
      </c>
      <c r="E63" s="105" t="s">
        <v>1531</v>
      </c>
      <c r="F63" s="105" t="s">
        <v>1534</v>
      </c>
      <c r="G63" s="105" t="s">
        <v>1544</v>
      </c>
      <c r="M63" s="105" t="s">
        <v>1545</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1581</v>
      </c>
      <c r="B64" s="105" t="s">
        <v>1544</v>
      </c>
      <c r="C64" s="105" t="s">
        <v>794</v>
      </c>
      <c r="D64" s="105" t="s">
        <v>1566</v>
      </c>
      <c r="E64" s="105" t="s">
        <v>1531</v>
      </c>
      <c r="F64" s="105" t="s">
        <v>1534</v>
      </c>
      <c r="G64" s="105" t="s">
        <v>1544</v>
      </c>
      <c r="M64" s="105" t="s">
        <v>1545</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1581</v>
      </c>
      <c r="B65" s="105" t="s">
        <v>1544</v>
      </c>
      <c r="C65" s="105" t="s">
        <v>794</v>
      </c>
      <c r="D65" s="105" t="s">
        <v>1566</v>
      </c>
      <c r="E65" s="105" t="s">
        <v>1531</v>
      </c>
      <c r="F65" s="105" t="s">
        <v>1534</v>
      </c>
      <c r="G65" s="105" t="s">
        <v>1544</v>
      </c>
      <c r="M65" s="105" t="s">
        <v>1545</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1581</v>
      </c>
      <c r="B66" s="105" t="s">
        <v>1544</v>
      </c>
      <c r="C66" s="105" t="s">
        <v>794</v>
      </c>
      <c r="D66" s="105" t="s">
        <v>1566</v>
      </c>
      <c r="E66" s="105" t="s">
        <v>1531</v>
      </c>
      <c r="F66" s="105" t="s">
        <v>1534</v>
      </c>
      <c r="G66" s="105" t="s">
        <v>1544</v>
      </c>
      <c r="M66" s="105" t="s">
        <v>1545</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1581</v>
      </c>
      <c r="B67" s="105" t="s">
        <v>1544</v>
      </c>
      <c r="C67" s="105" t="s">
        <v>794</v>
      </c>
      <c r="D67" s="105" t="s">
        <v>1566</v>
      </c>
      <c r="E67" s="105" t="s">
        <v>1531</v>
      </c>
      <c r="F67" s="105" t="s">
        <v>1534</v>
      </c>
      <c r="G67" s="105" t="s">
        <v>1544</v>
      </c>
      <c r="M67" s="105" t="s">
        <v>1545</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1581</v>
      </c>
      <c r="B68" s="105" t="s">
        <v>1544</v>
      </c>
      <c r="C68" s="105" t="s">
        <v>794</v>
      </c>
      <c r="D68" s="105" t="s">
        <v>1566</v>
      </c>
      <c r="E68" s="105" t="s">
        <v>1531</v>
      </c>
      <c r="F68" s="105" t="s">
        <v>1534</v>
      </c>
      <c r="G68" s="105" t="s">
        <v>1544</v>
      </c>
      <c r="M68" s="105" t="s">
        <v>1545</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1581</v>
      </c>
      <c r="B69" s="105" t="s">
        <v>1544</v>
      </c>
      <c r="C69" s="105" t="s">
        <v>794</v>
      </c>
      <c r="D69" s="105" t="s">
        <v>1566</v>
      </c>
      <c r="E69" s="105" t="s">
        <v>1531</v>
      </c>
      <c r="F69" s="105" t="s">
        <v>1534</v>
      </c>
      <c r="G69" s="105" t="s">
        <v>1544</v>
      </c>
      <c r="M69" s="105" t="s">
        <v>1545</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1581</v>
      </c>
      <c r="B70" s="105" t="s">
        <v>1544</v>
      </c>
      <c r="C70" s="105" t="s">
        <v>794</v>
      </c>
      <c r="D70" s="105" t="s">
        <v>1566</v>
      </c>
      <c r="E70" s="105" t="s">
        <v>1531</v>
      </c>
      <c r="F70" s="105" t="s">
        <v>1534</v>
      </c>
      <c r="G70" s="105" t="s">
        <v>1544</v>
      </c>
      <c r="M70" s="105" t="s">
        <v>1545</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1581</v>
      </c>
      <c r="B71" s="105" t="s">
        <v>1544</v>
      </c>
      <c r="C71" s="105" t="s">
        <v>794</v>
      </c>
      <c r="D71" s="105" t="s">
        <v>1566</v>
      </c>
      <c r="E71" s="105" t="s">
        <v>1531</v>
      </c>
      <c r="F71" s="105" t="s">
        <v>1534</v>
      </c>
      <c r="G71" s="105" t="s">
        <v>1544</v>
      </c>
      <c r="M71" s="105" t="s">
        <v>1545</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1581</v>
      </c>
      <c r="B72" s="105" t="s">
        <v>1546</v>
      </c>
      <c r="C72" s="105" t="s">
        <v>794</v>
      </c>
      <c r="D72" s="105" t="s">
        <v>1566</v>
      </c>
      <c r="E72" s="105" t="s">
        <v>1531</v>
      </c>
      <c r="F72" s="105" t="s">
        <v>1534</v>
      </c>
      <c r="G72" s="105" t="s">
        <v>1546</v>
      </c>
      <c r="M72" s="105" t="s">
        <v>1547</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1581</v>
      </c>
      <c r="B73" s="105" t="s">
        <v>1546</v>
      </c>
      <c r="C73" s="105" t="s">
        <v>794</v>
      </c>
      <c r="D73" s="105" t="s">
        <v>1566</v>
      </c>
      <c r="E73" s="105" t="s">
        <v>1531</v>
      </c>
      <c r="F73" s="105" t="s">
        <v>1534</v>
      </c>
      <c r="G73" s="105" t="s">
        <v>1546</v>
      </c>
      <c r="M73" s="105" t="s">
        <v>1547</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1581</v>
      </c>
      <c r="B74" s="105" t="s">
        <v>1546</v>
      </c>
      <c r="C74" s="105" t="s">
        <v>794</v>
      </c>
      <c r="D74" s="105" t="s">
        <v>1566</v>
      </c>
      <c r="E74" s="105" t="s">
        <v>1531</v>
      </c>
      <c r="F74" s="105" t="s">
        <v>1534</v>
      </c>
      <c r="G74" s="105" t="s">
        <v>1546</v>
      </c>
      <c r="M74" s="105" t="s">
        <v>1547</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1581</v>
      </c>
      <c r="B75" s="105" t="s">
        <v>1546</v>
      </c>
      <c r="C75" s="105" t="s">
        <v>794</v>
      </c>
      <c r="D75" s="105" t="s">
        <v>1566</v>
      </c>
      <c r="E75" s="105" t="s">
        <v>1531</v>
      </c>
      <c r="F75" s="105" t="s">
        <v>1534</v>
      </c>
      <c r="G75" s="105" t="s">
        <v>1546</v>
      </c>
      <c r="M75" s="105" t="s">
        <v>1547</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1581</v>
      </c>
      <c r="B76" s="105" t="s">
        <v>1546</v>
      </c>
      <c r="C76" s="105" t="s">
        <v>794</v>
      </c>
      <c r="D76" s="105" t="s">
        <v>1566</v>
      </c>
      <c r="E76" s="105" t="s">
        <v>1531</v>
      </c>
      <c r="F76" s="105" t="s">
        <v>1534</v>
      </c>
      <c r="G76" s="105" t="s">
        <v>1546</v>
      </c>
      <c r="M76" s="105" t="s">
        <v>1547</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1581</v>
      </c>
      <c r="B77" s="105" t="s">
        <v>1546</v>
      </c>
      <c r="C77" s="105" t="s">
        <v>794</v>
      </c>
      <c r="D77" s="105" t="s">
        <v>1566</v>
      </c>
      <c r="E77" s="105" t="s">
        <v>1531</v>
      </c>
      <c r="F77" s="105" t="s">
        <v>1534</v>
      </c>
      <c r="G77" s="105" t="s">
        <v>1546</v>
      </c>
      <c r="M77" s="105" t="s">
        <v>1547</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1581</v>
      </c>
      <c r="B78" s="105" t="s">
        <v>1546</v>
      </c>
      <c r="C78" s="105" t="s">
        <v>794</v>
      </c>
      <c r="D78" s="105" t="s">
        <v>1566</v>
      </c>
      <c r="E78" s="105" t="s">
        <v>1531</v>
      </c>
      <c r="F78" s="105" t="s">
        <v>1534</v>
      </c>
      <c r="G78" s="105" t="s">
        <v>1546</v>
      </c>
      <c r="M78" s="105" t="s">
        <v>1547</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1575</v>
      </c>
      <c r="B79" s="105" t="s">
        <v>1549</v>
      </c>
      <c r="C79" s="105" t="s">
        <v>794</v>
      </c>
      <c r="D79" s="105" t="s">
        <v>1566</v>
      </c>
      <c r="E79" s="105" t="s">
        <v>1548</v>
      </c>
      <c r="F79" s="105" t="s">
        <v>1549</v>
      </c>
      <c r="M79" s="105" t="s">
        <v>1550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1575</v>
      </c>
      <c r="B80" s="105" t="s">
        <v>1549</v>
      </c>
      <c r="C80" s="105" t="s">
        <v>794</v>
      </c>
      <c r="D80" s="105" t="s">
        <v>1566</v>
      </c>
      <c r="E80" s="105" t="s">
        <v>1548</v>
      </c>
      <c r="F80" s="105" t="s">
        <v>1549</v>
      </c>
      <c r="M80" s="105" t="s">
        <v>1550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1575</v>
      </c>
      <c r="B81" s="105" t="s">
        <v>1549</v>
      </c>
      <c r="C81" s="105" t="s">
        <v>794</v>
      </c>
      <c r="D81" s="105" t="s">
        <v>1566</v>
      </c>
      <c r="E81" s="105" t="s">
        <v>1548</v>
      </c>
      <c r="F81" s="105" t="s">
        <v>1549</v>
      </c>
      <c r="M81" s="105" t="s">
        <v>1550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1575</v>
      </c>
      <c r="B82" s="105" t="s">
        <v>1551</v>
      </c>
      <c r="C82" s="105" t="s">
        <v>794</v>
      </c>
      <c r="D82" s="105" t="s">
        <v>1566</v>
      </c>
      <c r="E82" s="105" t="s">
        <v>1548</v>
      </c>
      <c r="F82" s="105" t="s">
        <v>1551</v>
      </c>
      <c r="M82" s="105" t="s">
        <v>1552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1575</v>
      </c>
      <c r="B83" s="105" t="s">
        <v>1554</v>
      </c>
      <c r="C83" s="105" t="s">
        <v>794</v>
      </c>
      <c r="D83" s="105" t="s">
        <v>1567</v>
      </c>
      <c r="E83" s="105" t="s">
        <v>1553</v>
      </c>
      <c r="F83" s="105" t="s">
        <v>1554</v>
      </c>
      <c r="M83" s="105" t="s">
        <v>1555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1575</v>
      </c>
      <c r="B84" s="105" t="s">
        <v>1557</v>
      </c>
      <c r="C84" s="105" t="s">
        <v>794</v>
      </c>
      <c r="D84" s="105" t="s">
        <v>1567</v>
      </c>
      <c r="E84" s="105" t="s">
        <v>1556</v>
      </c>
      <c r="F84" s="105" t="s">
        <v>1557</v>
      </c>
      <c r="M84" s="105" t="s">
        <v>1558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1575</v>
      </c>
      <c r="B85" s="105" t="s">
        <v>1557</v>
      </c>
      <c r="C85" s="105" t="s">
        <v>794</v>
      </c>
      <c r="D85" s="105" t="s">
        <v>1567</v>
      </c>
      <c r="E85" s="105" t="s">
        <v>1556</v>
      </c>
      <c r="F85" s="105" t="s">
        <v>1557</v>
      </c>
      <c r="M85" s="105" t="s">
        <v>1558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1575</v>
      </c>
      <c r="B86" s="105" t="s">
        <v>1559</v>
      </c>
      <c r="C86" s="105" t="s">
        <v>794</v>
      </c>
      <c r="D86" s="105" t="s">
        <v>1567</v>
      </c>
      <c r="E86" s="105" t="s">
        <v>1556</v>
      </c>
      <c r="F86" s="105" t="s">
        <v>1559</v>
      </c>
      <c r="M86" s="105" t="s">
        <v>1560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1575</v>
      </c>
      <c r="B87" s="105" t="s">
        <v>1561</v>
      </c>
      <c r="C87" s="105" t="s">
        <v>794</v>
      </c>
      <c r="D87" s="105" t="s">
        <v>1567</v>
      </c>
      <c r="E87" s="105" t="s">
        <v>1556</v>
      </c>
      <c r="F87" s="105" t="s">
        <v>1561</v>
      </c>
      <c r="M87" s="105" t="s">
        <v>1562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1575</v>
      </c>
      <c r="B88" s="105" t="s">
        <v>1561</v>
      </c>
      <c r="C88" s="105" t="s">
        <v>794</v>
      </c>
      <c r="D88" s="105" t="s">
        <v>1567</v>
      </c>
      <c r="E88" s="105" t="s">
        <v>1556</v>
      </c>
      <c r="F88" s="105" t="s">
        <v>1561</v>
      </c>
      <c r="M88" s="105" t="s">
        <v>1562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1575</v>
      </c>
      <c r="B89" s="105" t="s">
        <v>1563</v>
      </c>
      <c r="C89" s="105" t="s">
        <v>794</v>
      </c>
      <c r="D89" s="105" t="s">
        <v>1567</v>
      </c>
      <c r="E89" s="105" t="s">
        <v>1556</v>
      </c>
      <c r="F89" s="105" t="s">
        <v>1563</v>
      </c>
      <c r="M89" s="105" t="s">
        <v>1564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89"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0" t="s">
        <v>800</v>
      </c>
      <c r="D6" s="174"/>
      <c r="E6" s="174"/>
      <c r="F6" s="174"/>
      <c r="G6" s="174"/>
      <c r="H6" s="174" t="s">
        <v>8</v>
      </c>
    </row>
    <row r="7" spans="1:8">
      <c r="A7" s="173" t="s">
        <v>662</v>
      </c>
      <c r="B7" s="173" t="s">
        <v>13</v>
      </c>
      <c r="C7" s="173" t="s">
        <v>7</v>
      </c>
      <c r="D7" s="174"/>
      <c r="E7" s="174"/>
      <c r="F7" s="174"/>
      <c r="G7" s="174"/>
      <c r="H7" s="174" t="s">
        <v>8</v>
      </c>
    </row>
    <row r="8" spans="1:8">
      <c r="A8" s="192" t="s">
        <v>662</v>
      </c>
      <c r="B8" s="192" t="s">
        <v>14</v>
      </c>
      <c r="C8" s="193" t="s">
        <v>744</v>
      </c>
      <c r="D8" s="194" t="s">
        <v>1367</v>
      </c>
      <c r="E8" s="194">
        <v>82</v>
      </c>
      <c r="F8" s="194"/>
      <c r="G8" s="192"/>
      <c r="H8" s="194" t="s">
        <v>754</v>
      </c>
    </row>
    <row r="9" spans="1:8">
      <c r="A9" s="173" t="s">
        <v>662</v>
      </c>
      <c r="B9" s="173" t="s">
        <v>15</v>
      </c>
      <c r="C9" s="191">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45536.531134259261</v>
      </c>
    </row>
    <row r="12" spans="1:8">
      <c r="A12" s="69" t="s">
        <v>795</v>
      </c>
      <c r="B12" s="69" t="s">
        <v>768</v>
      </c>
      <c r="C12" s="68">
        <v>1</v>
      </c>
    </row>
    <row r="13" spans="1:8">
      <c r="A13" s="69" t="s">
        <v>795</v>
      </c>
      <c r="B13" s="69" t="s">
        <v>704</v>
      </c>
      <c r="C13" s="68">
        <v>1</v>
      </c>
      <c r="G13" s="71">
        <v>45536.531134259261</v>
      </c>
    </row>
    <row r="14" spans="1:8">
      <c r="A14" s="69" t="s">
        <v>795</v>
      </c>
      <c r="B14" s="69" t="s">
        <v>705</v>
      </c>
      <c r="C14" s="68">
        <v>0</v>
      </c>
      <c r="G14" s="71">
        <v>45536.531134259261</v>
      </c>
    </row>
    <row r="15" spans="1:8">
      <c r="A15" s="69" t="s">
        <v>795</v>
      </c>
      <c r="B15" s="69" t="s">
        <v>703</v>
      </c>
      <c r="C15" s="68">
        <v>1</v>
      </c>
      <c r="G15" s="71">
        <v>45536.531134259261</v>
      </c>
    </row>
    <row r="16" spans="1:8">
      <c r="A16" s="69" t="s">
        <v>795</v>
      </c>
      <c r="B16" s="69" t="s">
        <v>756</v>
      </c>
      <c r="C16" s="68">
        <v>1</v>
      </c>
      <c r="G16" s="71">
        <v>45536.531134259261</v>
      </c>
    </row>
    <row r="17" spans="1:7">
      <c r="A17" s="69" t="s">
        <v>795</v>
      </c>
      <c r="B17" s="69" t="s">
        <v>763</v>
      </c>
      <c r="C17" s="68">
        <v>1</v>
      </c>
      <c r="G17" s="71">
        <v>45536.531134259261</v>
      </c>
    </row>
    <row r="18" spans="1:7">
      <c r="A18" s="69" t="s">
        <v>795</v>
      </c>
      <c r="B18" s="69" t="s">
        <v>764</v>
      </c>
      <c r="C18" s="68">
        <v>1</v>
      </c>
      <c r="G18" s="71">
        <v>45536.531134259261</v>
      </c>
    </row>
    <row r="19" spans="1:7">
      <c r="A19" s="69" t="s">
        <v>795</v>
      </c>
      <c r="B19" s="69" t="s">
        <v>762</v>
      </c>
      <c r="C19" s="68" t="s">
        <v>637</v>
      </c>
      <c r="G19" s="71">
        <v>45536.531134259261</v>
      </c>
    </row>
    <row r="20" spans="1:7">
      <c r="A20" s="69" t="s">
        <v>795</v>
      </c>
      <c r="B20" s="69" t="s">
        <v>706</v>
      </c>
      <c r="C20" s="68">
        <v>0</v>
      </c>
      <c r="G20" s="71">
        <v>45536.531134259261</v>
      </c>
    </row>
    <row r="21" spans="1:7">
      <c r="A21" s="69" t="s">
        <v>795</v>
      </c>
      <c r="B21" s="69" t="s">
        <v>761</v>
      </c>
      <c r="C21" s="68">
        <v>0</v>
      </c>
      <c r="G21" s="71">
        <v>45536.531134259261</v>
      </c>
    </row>
    <row r="22" spans="1:7">
      <c r="A22" s="69" t="s">
        <v>795</v>
      </c>
      <c r="B22" s="69" t="s">
        <v>765</v>
      </c>
      <c r="C22" s="68">
        <v>1</v>
      </c>
      <c r="G22" s="71">
        <v>45536.531134259261</v>
      </c>
    </row>
    <row r="23" spans="1:7">
      <c r="A23" s="69" t="s">
        <v>795</v>
      </c>
      <c r="B23" s="69" t="s">
        <v>708</v>
      </c>
      <c r="C23" s="68">
        <v>1</v>
      </c>
      <c r="G23" s="71">
        <v>45536.531134259261</v>
      </c>
    </row>
    <row r="24" spans="1:7">
      <c r="A24" s="69" t="s">
        <v>795</v>
      </c>
      <c r="B24" s="69" t="s">
        <v>758</v>
      </c>
      <c r="C24" s="70">
        <v>45612</v>
      </c>
      <c r="G24" s="71">
        <v>45537.973877314813</v>
      </c>
    </row>
    <row r="25" spans="1:7">
      <c r="A25" s="69" t="s">
        <v>795</v>
      </c>
      <c r="B25" s="69" t="s">
        <v>755</v>
      </c>
      <c r="C25" s="68" t="s">
        <v>1665</v>
      </c>
      <c r="G25" s="71">
        <v>45536.531134259261</v>
      </c>
    </row>
    <row r="26" spans="1:7">
      <c r="A26" s="69" t="s">
        <v>795</v>
      </c>
      <c r="B26" s="69" t="s">
        <v>757</v>
      </c>
      <c r="C26" s="70">
        <v>45523</v>
      </c>
      <c r="G26" s="71">
        <v>45537.973877314813</v>
      </c>
    </row>
    <row r="27" spans="1:7">
      <c r="A27" s="69" t="s">
        <v>795</v>
      </c>
      <c r="B27" s="69" t="s">
        <v>759</v>
      </c>
      <c r="C27" s="68" t="s">
        <v>1368</v>
      </c>
      <c r="G27" s="71">
        <v>45537.973564814813</v>
      </c>
    </row>
    <row r="28" spans="1:7">
      <c r="A28" s="69" t="s">
        <v>795</v>
      </c>
      <c r="B28" s="69" t="s">
        <v>760</v>
      </c>
      <c r="C28" s="68">
        <v>1</v>
      </c>
      <c r="G28" s="71">
        <v>45536.531134259261</v>
      </c>
    </row>
    <row r="29" spans="1:7">
      <c r="A29" s="69" t="s">
        <v>795</v>
      </c>
      <c r="B29" s="69" t="s">
        <v>766</v>
      </c>
      <c r="C29" s="68">
        <v>20</v>
      </c>
      <c r="G29" s="71">
        <v>45536.531134259261</v>
      </c>
    </row>
    <row r="30" spans="1:7">
      <c r="A30" s="69" t="s">
        <v>795</v>
      </c>
      <c r="B30" s="69" t="s">
        <v>767</v>
      </c>
      <c r="C30" s="68">
        <v>10</v>
      </c>
      <c r="G30" s="71">
        <v>45536.531134259261</v>
      </c>
    </row>
    <row r="31" spans="1:7">
      <c r="A31" s="69" t="s">
        <v>1374</v>
      </c>
      <c r="B31" s="69" t="s">
        <v>1375</v>
      </c>
      <c r="C31" s="68">
        <v>-4105</v>
      </c>
      <c r="F31" s="71"/>
      <c r="G31" s="71">
        <v>45537.973877314813</v>
      </c>
    </row>
    <row r="32" spans="1:7">
      <c r="A32" s="69" t="s">
        <v>796</v>
      </c>
      <c r="B32" s="69" t="s">
        <v>777</v>
      </c>
      <c r="C32" s="68">
        <v>1</v>
      </c>
      <c r="G32" s="71">
        <v>45536.531134259261</v>
      </c>
    </row>
    <row r="33" spans="1:7">
      <c r="A33" s="69" t="s">
        <v>796</v>
      </c>
      <c r="B33" s="69" t="s">
        <v>780</v>
      </c>
      <c r="C33" s="68">
        <v>0</v>
      </c>
    </row>
    <row r="34" spans="1:7">
      <c r="A34" s="69" t="s">
        <v>796</v>
      </c>
      <c r="B34" s="69" t="s">
        <v>709</v>
      </c>
      <c r="C34" s="68">
        <v>1</v>
      </c>
      <c r="G34" s="71">
        <v>45536.531134259261</v>
      </c>
    </row>
    <row r="35" spans="1:7">
      <c r="A35" s="69" t="s">
        <v>796</v>
      </c>
      <c r="B35" s="69" t="s">
        <v>711</v>
      </c>
      <c r="C35" s="68">
        <v>1</v>
      </c>
      <c r="G35" s="71">
        <v>45536.531134259261</v>
      </c>
    </row>
    <row r="36" spans="1:7">
      <c r="A36" s="69" t="s">
        <v>796</v>
      </c>
      <c r="B36" s="69" t="s">
        <v>710</v>
      </c>
      <c r="C36" s="68">
        <v>1</v>
      </c>
      <c r="G36" s="71">
        <v>45536.531134259261</v>
      </c>
    </row>
    <row r="37" spans="1:7">
      <c r="A37" s="69" t="s">
        <v>796</v>
      </c>
      <c r="B37" s="69" t="s">
        <v>771</v>
      </c>
      <c r="C37" s="68">
        <v>0</v>
      </c>
      <c r="G37" s="71">
        <v>45536.531134259261</v>
      </c>
    </row>
    <row r="38" spans="1:7">
      <c r="A38" s="69" t="s">
        <v>796</v>
      </c>
      <c r="B38" s="69" t="s">
        <v>774</v>
      </c>
      <c r="C38" s="68">
        <v>1</v>
      </c>
      <c r="G38" s="71">
        <v>45536.531134259261</v>
      </c>
    </row>
    <row r="39" spans="1:7">
      <c r="A39" s="69" t="s">
        <v>796</v>
      </c>
      <c r="B39" s="69" t="s">
        <v>785</v>
      </c>
      <c r="C39" s="68">
        <v>2</v>
      </c>
      <c r="G39" s="71">
        <v>45536.531134259261</v>
      </c>
    </row>
    <row r="40" spans="1:7">
      <c r="A40" s="69" t="s">
        <v>796</v>
      </c>
      <c r="B40" s="69" t="s">
        <v>775</v>
      </c>
      <c r="C40" s="68">
        <v>0.7</v>
      </c>
    </row>
    <row r="41" spans="1:7">
      <c r="A41" s="69" t="s">
        <v>796</v>
      </c>
      <c r="B41" s="69" t="s">
        <v>784</v>
      </c>
      <c r="C41" s="68">
        <v>1</v>
      </c>
      <c r="G41" s="71">
        <v>45536.531134259261</v>
      </c>
    </row>
    <row r="42" spans="1:7">
      <c r="A42" s="69" t="s">
        <v>796</v>
      </c>
      <c r="B42" s="69" t="s">
        <v>778</v>
      </c>
      <c r="C42" s="68">
        <v>1</v>
      </c>
      <c r="G42" s="71">
        <v>45536.531134259261</v>
      </c>
    </row>
    <row r="43" spans="1:7">
      <c r="A43" s="69" t="s">
        <v>796</v>
      </c>
      <c r="B43" s="69" t="s">
        <v>788</v>
      </c>
      <c r="C43" s="68">
        <v>-4131</v>
      </c>
      <c r="G43" s="71">
        <v>45536.531134259261</v>
      </c>
    </row>
    <row r="44" spans="1:7">
      <c r="A44" s="69" t="s">
        <v>796</v>
      </c>
      <c r="B44" s="69" t="s">
        <v>779</v>
      </c>
      <c r="C44" s="68">
        <v>7</v>
      </c>
      <c r="G44" s="71">
        <v>45536.531134259261</v>
      </c>
    </row>
    <row r="45" spans="1:7">
      <c r="A45" s="69" t="s">
        <v>796</v>
      </c>
      <c r="B45" s="69" t="s">
        <v>781</v>
      </c>
      <c r="C45" s="68">
        <v>0</v>
      </c>
      <c r="G45" s="71">
        <v>45536.531134259261</v>
      </c>
    </row>
    <row r="46" spans="1:7">
      <c r="A46" s="69" t="s">
        <v>796</v>
      </c>
      <c r="B46" s="69" t="s">
        <v>782</v>
      </c>
      <c r="C46" s="68">
        <v>1</v>
      </c>
      <c r="G46" s="71">
        <v>45536.531134259261</v>
      </c>
    </row>
    <row r="47" spans="1:7">
      <c r="A47" s="69" t="s">
        <v>796</v>
      </c>
      <c r="B47" s="69" t="s">
        <v>783</v>
      </c>
      <c r="C47" s="68">
        <v>1</v>
      </c>
      <c r="G47" s="71">
        <v>45536.531134259261</v>
      </c>
    </row>
    <row r="48" spans="1:7">
      <c r="A48" s="69" t="s">
        <v>796</v>
      </c>
      <c r="B48" s="69" t="s">
        <v>772</v>
      </c>
      <c r="C48" s="68">
        <v>1</v>
      </c>
    </row>
    <row r="49" spans="1:7">
      <c r="A49" s="69" t="s">
        <v>796</v>
      </c>
      <c r="B49" s="69" t="s">
        <v>773</v>
      </c>
      <c r="C49" s="68">
        <v>0</v>
      </c>
    </row>
    <row r="50" spans="1:7">
      <c r="A50" s="69" t="s">
        <v>796</v>
      </c>
      <c r="B50" s="69" t="s">
        <v>776</v>
      </c>
      <c r="C50" s="68">
        <v>2</v>
      </c>
      <c r="G50" s="71">
        <v>45536.531134259261</v>
      </c>
    </row>
    <row r="51" spans="1:7">
      <c r="A51" s="69" t="s">
        <v>796</v>
      </c>
      <c r="B51" s="69" t="s">
        <v>787</v>
      </c>
      <c r="C51" s="68" t="s">
        <v>770</v>
      </c>
    </row>
    <row r="52" spans="1:7">
      <c r="A52" s="69" t="s">
        <v>796</v>
      </c>
      <c r="B52" s="69" t="s">
        <v>707</v>
      </c>
      <c r="C52" s="68">
        <v>100</v>
      </c>
      <c r="G52" s="71">
        <v>45536.531134259261</v>
      </c>
    </row>
    <row r="53" spans="1:7">
      <c r="A53" s="69" t="s">
        <v>796</v>
      </c>
      <c r="B53" s="69" t="s">
        <v>786</v>
      </c>
      <c r="C53" s="68">
        <v>9</v>
      </c>
    </row>
    <row r="54" spans="1:7">
      <c r="A54" s="69" t="s">
        <v>797</v>
      </c>
      <c r="B54" s="69" t="s">
        <v>670</v>
      </c>
      <c r="C54" s="68">
        <v>1</v>
      </c>
      <c r="G54" s="71">
        <v>45536.531134259261</v>
      </c>
    </row>
    <row r="55" spans="1:7">
      <c r="A55" s="69" t="s">
        <v>797</v>
      </c>
      <c r="B55" s="69" t="s">
        <v>789</v>
      </c>
      <c r="C55" s="68" t="s">
        <v>1571</v>
      </c>
      <c r="G55" s="71">
        <v>45536.531134259261</v>
      </c>
    </row>
    <row r="56" spans="1:7">
      <c r="A56" s="69" t="s">
        <v>797</v>
      </c>
      <c r="B56" s="69" t="s">
        <v>669</v>
      </c>
      <c r="C56" s="68" t="s">
        <v>712</v>
      </c>
      <c r="G56" s="71">
        <v>44717.947500000002</v>
      </c>
    </row>
    <row r="57" spans="1:7">
      <c r="A57" s="69" t="s">
        <v>797</v>
      </c>
      <c r="B57" s="69" t="s">
        <v>668</v>
      </c>
      <c r="C57" s="68" t="s">
        <v>712</v>
      </c>
      <c r="G57" s="71">
        <v>45536.531134259261</v>
      </c>
    </row>
    <row r="58" spans="1:7">
      <c r="A58" s="69" t="s">
        <v>742</v>
      </c>
      <c r="B58" s="69" t="s">
        <v>792</v>
      </c>
      <c r="C58" s="68">
        <v>82</v>
      </c>
      <c r="G58" s="71">
        <v>45536.531145833331</v>
      </c>
    </row>
    <row r="59" spans="1:7">
      <c r="A59" s="69" t="s">
        <v>742</v>
      </c>
      <c r="B59" s="69" t="s">
        <v>791</v>
      </c>
      <c r="C59" s="68">
        <v>1</v>
      </c>
      <c r="G59" s="71">
        <v>45536.531145833331</v>
      </c>
    </row>
    <row r="60" spans="1:7">
      <c r="A60" s="69" t="s">
        <v>742</v>
      </c>
      <c r="B60" s="69" t="s">
        <v>790</v>
      </c>
      <c r="C60" s="68">
        <v>82</v>
      </c>
      <c r="G60" s="71">
        <v>44717.85429398148</v>
      </c>
    </row>
    <row r="61" spans="1:7">
      <c r="A61" s="69" t="s">
        <v>742</v>
      </c>
      <c r="B61" s="69" t="s">
        <v>793</v>
      </c>
      <c r="C61" s="68" t="s">
        <v>620</v>
      </c>
      <c r="G61" s="71">
        <v>45536.531145833331</v>
      </c>
    </row>
    <row r="62" spans="1:7">
      <c r="A62" s="69" t="s">
        <v>798</v>
      </c>
      <c r="B62" s="69" t="s">
        <v>697</v>
      </c>
      <c r="C62" s="68" t="b">
        <v>0</v>
      </c>
      <c r="G62" s="71">
        <v>45536.531134259261</v>
      </c>
    </row>
    <row r="63" spans="1:7">
      <c r="A63" s="69" t="s">
        <v>798</v>
      </c>
      <c r="B63" s="69" t="s">
        <v>698</v>
      </c>
      <c r="C63" s="68" t="b">
        <v>0</v>
      </c>
      <c r="G63" s="71">
        <v>45536.531134259261</v>
      </c>
    </row>
    <row r="64" spans="1:7">
      <c r="A64" s="69" t="s">
        <v>798</v>
      </c>
      <c r="B64" s="69" t="s">
        <v>699</v>
      </c>
      <c r="C64" s="68" t="b">
        <v>1</v>
      </c>
      <c r="G64" s="71">
        <v>45536.531134259261</v>
      </c>
    </row>
    <row r="65" spans="1:7">
      <c r="A65" s="69" t="s">
        <v>798</v>
      </c>
      <c r="B65" s="69" t="s">
        <v>681</v>
      </c>
      <c r="C65" s="68" t="b">
        <v>1</v>
      </c>
      <c r="G65" s="71">
        <v>45536.531134259261</v>
      </c>
    </row>
    <row r="66" spans="1:7">
      <c r="A66" s="69" t="s">
        <v>798</v>
      </c>
      <c r="B66" s="69" t="s">
        <v>682</v>
      </c>
      <c r="C66" s="68" t="b">
        <v>1</v>
      </c>
      <c r="G66" s="71">
        <v>45536.531134259261</v>
      </c>
    </row>
    <row r="67" spans="1:7">
      <c r="A67" s="69" t="s">
        <v>798</v>
      </c>
      <c r="B67" s="69" t="s">
        <v>683</v>
      </c>
      <c r="C67" s="68" t="b">
        <v>1</v>
      </c>
      <c r="G67" s="71">
        <v>45536.531134259261</v>
      </c>
    </row>
    <row r="68" spans="1:7">
      <c r="A68" s="69" t="s">
        <v>798</v>
      </c>
      <c r="B68" s="69" t="s">
        <v>684</v>
      </c>
      <c r="C68" s="68" t="b">
        <v>1</v>
      </c>
      <c r="G68" s="71">
        <v>45536.531134259261</v>
      </c>
    </row>
    <row r="69" spans="1:7">
      <c r="A69" s="69" t="s">
        <v>798</v>
      </c>
      <c r="B69" s="69" t="s">
        <v>685</v>
      </c>
      <c r="G69" s="71">
        <v>45536.531145833331</v>
      </c>
    </row>
    <row r="70" spans="1:7">
      <c r="A70" s="69" t="s">
        <v>798</v>
      </c>
      <c r="B70" s="69" t="s">
        <v>700</v>
      </c>
      <c r="C70" s="68" t="s">
        <v>722</v>
      </c>
      <c r="G70" s="71">
        <v>45536.531134259261</v>
      </c>
    </row>
    <row r="71" spans="1:7">
      <c r="A71" s="69" t="s">
        <v>798</v>
      </c>
      <c r="B71" s="69" t="s">
        <v>702</v>
      </c>
      <c r="C71" s="68" t="s">
        <v>724</v>
      </c>
      <c r="G71" s="71">
        <v>45536.531134259261</v>
      </c>
    </row>
    <row r="72" spans="1:7">
      <c r="A72" s="69" t="s">
        <v>798</v>
      </c>
      <c r="B72" s="69" t="s">
        <v>701</v>
      </c>
      <c r="C72" s="68" t="s">
        <v>723</v>
      </c>
      <c r="G72" s="71">
        <v>45536.531134259261</v>
      </c>
    </row>
    <row r="73" spans="1:7">
      <c r="A73" s="69" t="s">
        <v>798</v>
      </c>
      <c r="B73" s="69" t="s">
        <v>687</v>
      </c>
      <c r="C73" s="68" t="s">
        <v>719</v>
      </c>
      <c r="G73" s="71">
        <v>45536.531134259261</v>
      </c>
    </row>
    <row r="74" spans="1:7">
      <c r="A74" s="69" t="s">
        <v>798</v>
      </c>
      <c r="B74" s="69" t="s">
        <v>690</v>
      </c>
      <c r="C74" s="68" t="s">
        <v>721</v>
      </c>
      <c r="G74" s="71">
        <v>45536.531134259261</v>
      </c>
    </row>
    <row r="75" spans="1:7">
      <c r="A75" s="69" t="s">
        <v>798</v>
      </c>
      <c r="B75" s="69" t="s">
        <v>689</v>
      </c>
      <c r="C75" s="68" t="s">
        <v>720</v>
      </c>
      <c r="G75" s="71">
        <v>45536.531134259261</v>
      </c>
    </row>
    <row r="76" spans="1:7">
      <c r="A76" s="69" t="s">
        <v>798</v>
      </c>
      <c r="B76" s="69" t="s">
        <v>688</v>
      </c>
      <c r="C76" s="68" t="s">
        <v>1377</v>
      </c>
      <c r="G76" s="71">
        <v>45536.531134259261</v>
      </c>
    </row>
    <row r="77" spans="1:7">
      <c r="A77" s="69" t="s">
        <v>798</v>
      </c>
      <c r="B77" s="69" t="s">
        <v>686</v>
      </c>
      <c r="G77" s="71">
        <v>45536.531134259261</v>
      </c>
    </row>
    <row r="78" spans="1:7">
      <c r="A78" s="69" t="s">
        <v>798</v>
      </c>
      <c r="B78" s="69" t="s">
        <v>691</v>
      </c>
      <c r="C78" s="68" t="s">
        <v>1397</v>
      </c>
      <c r="G78" s="71">
        <v>45536.531134259261</v>
      </c>
    </row>
    <row r="79" spans="1:7">
      <c r="A79" s="69" t="s">
        <v>798</v>
      </c>
      <c r="B79" s="69" t="s">
        <v>696</v>
      </c>
      <c r="C79" s="68" t="s">
        <v>1399</v>
      </c>
      <c r="G79" s="71">
        <v>45536.531134259261</v>
      </c>
    </row>
    <row r="80" spans="1:7">
      <c r="A80" s="69" t="s">
        <v>798</v>
      </c>
      <c r="B80" s="69" t="s">
        <v>695</v>
      </c>
      <c r="C80" s="68" t="s">
        <v>1400</v>
      </c>
      <c r="G80" s="71">
        <v>45536.531134259261</v>
      </c>
    </row>
    <row r="81" spans="1:7">
      <c r="A81" s="69" t="s">
        <v>798</v>
      </c>
      <c r="B81" s="69" t="s">
        <v>676</v>
      </c>
      <c r="C81" s="68" t="s">
        <v>716</v>
      </c>
      <c r="G81" s="71">
        <v>45536.531134259261</v>
      </c>
    </row>
    <row r="82" spans="1:7">
      <c r="A82" s="69" t="s">
        <v>798</v>
      </c>
      <c r="B82" s="69" t="s">
        <v>680</v>
      </c>
      <c r="C82" s="68" t="s">
        <v>718</v>
      </c>
      <c r="G82" s="71">
        <v>45536.531134259261</v>
      </c>
    </row>
    <row r="83" spans="1:7">
      <c r="A83" s="69" t="s">
        <v>798</v>
      </c>
      <c r="B83" s="69" t="s">
        <v>679</v>
      </c>
      <c r="C83" s="68" t="s">
        <v>717</v>
      </c>
      <c r="G83" s="71">
        <v>45536.531134259261</v>
      </c>
    </row>
    <row r="84" spans="1:7">
      <c r="A84" s="69" t="s">
        <v>798</v>
      </c>
      <c r="B84" s="69" t="s">
        <v>678</v>
      </c>
      <c r="C84" s="68" t="s">
        <v>1572</v>
      </c>
      <c r="G84" s="71">
        <v>45536.531134259261</v>
      </c>
    </row>
    <row r="85" spans="1:7">
      <c r="A85" s="69" t="s">
        <v>798</v>
      </c>
      <c r="B85" s="69" t="s">
        <v>677</v>
      </c>
      <c r="G85" s="71">
        <v>45536.531134259261</v>
      </c>
    </row>
    <row r="86" spans="1:7">
      <c r="A86" s="69" t="s">
        <v>798</v>
      </c>
      <c r="B86" s="69" t="s">
        <v>692</v>
      </c>
      <c r="C86" s="68" t="s">
        <v>1398</v>
      </c>
      <c r="G86" s="71">
        <v>45536.531134259261</v>
      </c>
    </row>
    <row r="87" spans="1:7">
      <c r="A87" s="69" t="s">
        <v>798</v>
      </c>
      <c r="B87" s="69" t="s">
        <v>693</v>
      </c>
      <c r="C87" s="68" t="s">
        <v>1398</v>
      </c>
      <c r="G87" s="71">
        <v>45536.531134259261</v>
      </c>
    </row>
    <row r="88" spans="1:7">
      <c r="A88" s="69" t="s">
        <v>798</v>
      </c>
      <c r="B88" s="69" t="s">
        <v>694</v>
      </c>
      <c r="C88" s="68" t="s">
        <v>1398</v>
      </c>
      <c r="G88" s="71">
        <v>45536.531134259261</v>
      </c>
    </row>
    <row r="89" spans="1:7">
      <c r="A89" s="69" t="s">
        <v>798</v>
      </c>
      <c r="B89" s="69" t="s">
        <v>671</v>
      </c>
      <c r="C89" s="68" t="s">
        <v>713</v>
      </c>
      <c r="G89" s="71">
        <v>45536.531134259261</v>
      </c>
    </row>
    <row r="90" spans="1:7">
      <c r="A90" s="69" t="s">
        <v>798</v>
      </c>
      <c r="B90" s="69" t="s">
        <v>672</v>
      </c>
      <c r="C90" s="68" t="s">
        <v>714</v>
      </c>
      <c r="G90" s="71">
        <v>45536.531134259261</v>
      </c>
    </row>
    <row r="91" spans="1:7">
      <c r="A91" s="69" t="s">
        <v>798</v>
      </c>
      <c r="B91" s="69" t="s">
        <v>673</v>
      </c>
      <c r="C91" s="68" t="s">
        <v>715</v>
      </c>
      <c r="G91" s="71">
        <v>45536.531134259261</v>
      </c>
    </row>
    <row r="92" spans="1:7">
      <c r="A92" s="69" t="s">
        <v>798</v>
      </c>
      <c r="B92" s="69" t="s">
        <v>674</v>
      </c>
      <c r="C92" s="68" t="s">
        <v>1378</v>
      </c>
      <c r="G92" s="71">
        <v>45536.531134259261</v>
      </c>
    </row>
    <row r="93" spans="1:7">
      <c r="A93" s="69" t="s">
        <v>798</v>
      </c>
      <c r="B93" s="69" t="s">
        <v>675</v>
      </c>
      <c r="G93" s="71">
        <v>45536.531134259261</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김명준</cp:lastModifiedBy>
  <cp:lastPrinted>2022-06-05T11:24:31Z</cp:lastPrinted>
  <dcterms:created xsi:type="dcterms:W3CDTF">2018-02-18T09:45:14Z</dcterms:created>
  <dcterms:modified xsi:type="dcterms:W3CDTF">2024-09-02T14:22:23Z</dcterms:modified>
</cp:coreProperties>
</file>